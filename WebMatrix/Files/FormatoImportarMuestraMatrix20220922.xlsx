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.patino\Downloads\"/>
    </mc:Choice>
  </mc:AlternateContent>
  <xr:revisionPtr revIDLastSave="0" documentId="13_ncr:1_{8FCC7223-B2CE-475F-B393-D69DB345B38D}" xr6:coauthVersionLast="47" xr6:coauthVersionMax="47" xr10:uidLastSave="{00000000-0000-0000-0000-000000000000}"/>
  <workbookProtection workbookAlgorithmName="SHA-512" workbookHashValue="9xtes3LgtKwAheLqx+xhOm59TR7eLCuXQ/nPIRWgBe5NDXipcqPMtB9iswDpNOuzxl3uiiORZmFpR/AsvnsShA==" workbookSaltValue="dApIq0HdDhYoCCImX6l+UQ==" workbookSpinCount="100000" lockStructure="1"/>
  <bookViews>
    <workbookView xWindow="-120" yWindow="-120" windowWidth="29040" windowHeight="15840" xr2:uid="{A95B7EAC-56D0-4BC2-97D2-729038A20F73}"/>
  </bookViews>
  <sheets>
    <sheet name="Inicio" sheetId="5" r:id="rId1"/>
    <sheet name="Muestra_x_NSE_Poblacional" sheetId="2" r:id="rId2"/>
    <sheet name="Muestra_x_NSE" sheetId="3" r:id="rId3"/>
    <sheet name="Muestra_x_Dificultad" sheetId="4" r:id="rId4"/>
    <sheet name="Listados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11" i="2"/>
  <c r="I10" i="2"/>
  <c r="I9" i="2"/>
  <c r="I8" i="2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15" i="3"/>
  <c r="I11" i="3"/>
  <c r="I10" i="3"/>
  <c r="I9" i="3"/>
  <c r="I8" i="3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9" i="4"/>
  <c r="I8" i="4"/>
  <c r="I16" i="4" s="1"/>
  <c r="I11" i="4"/>
  <c r="I10" i="4"/>
  <c r="E264" i="4"/>
  <c r="D264" i="4"/>
  <c r="F264" i="4" s="1"/>
  <c r="G264" i="4" s="1"/>
  <c r="E263" i="4"/>
  <c r="D263" i="4"/>
  <c r="F263" i="4" s="1"/>
  <c r="G263" i="4" s="1"/>
  <c r="E262" i="4"/>
  <c r="D262" i="4"/>
  <c r="F262" i="4" s="1"/>
  <c r="G262" i="4" s="1"/>
  <c r="E261" i="4"/>
  <c r="D261" i="4"/>
  <c r="F261" i="4" s="1"/>
  <c r="G261" i="4" s="1"/>
  <c r="E260" i="4"/>
  <c r="D260" i="4"/>
  <c r="F260" i="4" s="1"/>
  <c r="G260" i="4" s="1"/>
  <c r="E259" i="4"/>
  <c r="D259" i="4"/>
  <c r="F259" i="4" s="1"/>
  <c r="G259" i="4" s="1"/>
  <c r="E258" i="4"/>
  <c r="D258" i="4"/>
  <c r="F258" i="4" s="1"/>
  <c r="G258" i="4" s="1"/>
  <c r="E257" i="4"/>
  <c r="D257" i="4"/>
  <c r="F257" i="4" s="1"/>
  <c r="G257" i="4" s="1"/>
  <c r="E256" i="4"/>
  <c r="D256" i="4"/>
  <c r="F256" i="4" s="1"/>
  <c r="G256" i="4" s="1"/>
  <c r="E255" i="4"/>
  <c r="D255" i="4"/>
  <c r="F255" i="4" s="1"/>
  <c r="G255" i="4" s="1"/>
  <c r="E254" i="4"/>
  <c r="D254" i="4"/>
  <c r="F254" i="4" s="1"/>
  <c r="G254" i="4" s="1"/>
  <c r="E253" i="4"/>
  <c r="D253" i="4"/>
  <c r="F253" i="4" s="1"/>
  <c r="G253" i="4" s="1"/>
  <c r="E252" i="4"/>
  <c r="D252" i="4"/>
  <c r="F252" i="4" s="1"/>
  <c r="G252" i="4" s="1"/>
  <c r="E251" i="4"/>
  <c r="D251" i="4"/>
  <c r="F251" i="4" s="1"/>
  <c r="G251" i="4" s="1"/>
  <c r="E250" i="4"/>
  <c r="D250" i="4"/>
  <c r="F250" i="4" s="1"/>
  <c r="G250" i="4" s="1"/>
  <c r="E249" i="4"/>
  <c r="D249" i="4"/>
  <c r="F249" i="4" s="1"/>
  <c r="G249" i="4" s="1"/>
  <c r="E248" i="4"/>
  <c r="D248" i="4"/>
  <c r="F248" i="4" s="1"/>
  <c r="G248" i="4" s="1"/>
  <c r="E247" i="4"/>
  <c r="D247" i="4"/>
  <c r="F247" i="4" s="1"/>
  <c r="G247" i="4" s="1"/>
  <c r="E246" i="4"/>
  <c r="D246" i="4"/>
  <c r="F246" i="4" s="1"/>
  <c r="G246" i="4" s="1"/>
  <c r="E245" i="4"/>
  <c r="D245" i="4"/>
  <c r="F245" i="4" s="1"/>
  <c r="G245" i="4" s="1"/>
  <c r="E244" i="4"/>
  <c r="D244" i="4"/>
  <c r="F244" i="4" s="1"/>
  <c r="G244" i="4" s="1"/>
  <c r="E243" i="4"/>
  <c r="D243" i="4"/>
  <c r="F243" i="4" s="1"/>
  <c r="G243" i="4" s="1"/>
  <c r="E242" i="4"/>
  <c r="D242" i="4"/>
  <c r="F242" i="4" s="1"/>
  <c r="G242" i="4" s="1"/>
  <c r="E241" i="4"/>
  <c r="D241" i="4"/>
  <c r="F241" i="4" s="1"/>
  <c r="G241" i="4" s="1"/>
  <c r="E240" i="4"/>
  <c r="D240" i="4"/>
  <c r="F240" i="4" s="1"/>
  <c r="G240" i="4" s="1"/>
  <c r="E239" i="4"/>
  <c r="D239" i="4"/>
  <c r="F239" i="4" s="1"/>
  <c r="G239" i="4" s="1"/>
  <c r="E238" i="4"/>
  <c r="D238" i="4"/>
  <c r="F238" i="4" s="1"/>
  <c r="G238" i="4" s="1"/>
  <c r="E237" i="4"/>
  <c r="D237" i="4"/>
  <c r="F237" i="4" s="1"/>
  <c r="G237" i="4" s="1"/>
  <c r="E236" i="4"/>
  <c r="D236" i="4"/>
  <c r="F236" i="4" s="1"/>
  <c r="G236" i="4" s="1"/>
  <c r="E235" i="4"/>
  <c r="D235" i="4"/>
  <c r="F235" i="4" s="1"/>
  <c r="G235" i="4" s="1"/>
  <c r="E234" i="4"/>
  <c r="D234" i="4"/>
  <c r="F234" i="4" s="1"/>
  <c r="G234" i="4" s="1"/>
  <c r="E233" i="4"/>
  <c r="D233" i="4"/>
  <c r="F233" i="4" s="1"/>
  <c r="G233" i="4" s="1"/>
  <c r="E232" i="4"/>
  <c r="D232" i="4"/>
  <c r="F232" i="4" s="1"/>
  <c r="G232" i="4" s="1"/>
  <c r="E231" i="4"/>
  <c r="D231" i="4"/>
  <c r="F231" i="4" s="1"/>
  <c r="G231" i="4" s="1"/>
  <c r="E230" i="4"/>
  <c r="D230" i="4"/>
  <c r="F230" i="4" s="1"/>
  <c r="G230" i="4" s="1"/>
  <c r="E229" i="4"/>
  <c r="D229" i="4"/>
  <c r="F229" i="4" s="1"/>
  <c r="G229" i="4" s="1"/>
  <c r="E228" i="4"/>
  <c r="D228" i="4"/>
  <c r="F228" i="4" s="1"/>
  <c r="G228" i="4" s="1"/>
  <c r="E227" i="4"/>
  <c r="D227" i="4"/>
  <c r="F227" i="4" s="1"/>
  <c r="G227" i="4" s="1"/>
  <c r="E226" i="4"/>
  <c r="D226" i="4"/>
  <c r="F226" i="4" s="1"/>
  <c r="G226" i="4" s="1"/>
  <c r="E225" i="4"/>
  <c r="D225" i="4"/>
  <c r="F225" i="4" s="1"/>
  <c r="G225" i="4" s="1"/>
  <c r="E224" i="4"/>
  <c r="D224" i="4"/>
  <c r="F224" i="4" s="1"/>
  <c r="G224" i="4" s="1"/>
  <c r="E223" i="4"/>
  <c r="D223" i="4"/>
  <c r="F223" i="4" s="1"/>
  <c r="G223" i="4" s="1"/>
  <c r="E222" i="4"/>
  <c r="D222" i="4"/>
  <c r="F222" i="4" s="1"/>
  <c r="G222" i="4" s="1"/>
  <c r="E221" i="4"/>
  <c r="D221" i="4"/>
  <c r="F221" i="4" s="1"/>
  <c r="G221" i="4" s="1"/>
  <c r="E220" i="4"/>
  <c r="D220" i="4"/>
  <c r="F220" i="4" s="1"/>
  <c r="G220" i="4" s="1"/>
  <c r="E219" i="4"/>
  <c r="D219" i="4"/>
  <c r="F219" i="4" s="1"/>
  <c r="G219" i="4" s="1"/>
  <c r="E218" i="4"/>
  <c r="D218" i="4"/>
  <c r="F218" i="4" s="1"/>
  <c r="G218" i="4" s="1"/>
  <c r="E217" i="4"/>
  <c r="D217" i="4"/>
  <c r="F217" i="4" s="1"/>
  <c r="G217" i="4" s="1"/>
  <c r="E216" i="4"/>
  <c r="D216" i="4"/>
  <c r="F216" i="4" s="1"/>
  <c r="G216" i="4" s="1"/>
  <c r="E215" i="4"/>
  <c r="D215" i="4"/>
  <c r="F215" i="4" s="1"/>
  <c r="G215" i="4" s="1"/>
  <c r="E214" i="4"/>
  <c r="D214" i="4"/>
  <c r="F214" i="4" s="1"/>
  <c r="G214" i="4" s="1"/>
  <c r="E213" i="4"/>
  <c r="D213" i="4"/>
  <c r="F213" i="4" s="1"/>
  <c r="G213" i="4" s="1"/>
  <c r="E212" i="4"/>
  <c r="D212" i="4"/>
  <c r="F212" i="4" s="1"/>
  <c r="G212" i="4" s="1"/>
  <c r="E211" i="4"/>
  <c r="D211" i="4"/>
  <c r="F211" i="4" s="1"/>
  <c r="G211" i="4" s="1"/>
  <c r="E210" i="4"/>
  <c r="D210" i="4"/>
  <c r="F210" i="4" s="1"/>
  <c r="G210" i="4" s="1"/>
  <c r="E209" i="4"/>
  <c r="D209" i="4"/>
  <c r="F209" i="4" s="1"/>
  <c r="G209" i="4" s="1"/>
  <c r="E208" i="4"/>
  <c r="D208" i="4"/>
  <c r="F208" i="4" s="1"/>
  <c r="G208" i="4" s="1"/>
  <c r="E207" i="4"/>
  <c r="D207" i="4"/>
  <c r="F207" i="4" s="1"/>
  <c r="G207" i="4" s="1"/>
  <c r="E206" i="4"/>
  <c r="D206" i="4"/>
  <c r="F206" i="4" s="1"/>
  <c r="G206" i="4" s="1"/>
  <c r="E205" i="4"/>
  <c r="D205" i="4"/>
  <c r="F205" i="4" s="1"/>
  <c r="G205" i="4" s="1"/>
  <c r="E204" i="4"/>
  <c r="D204" i="4"/>
  <c r="F204" i="4" s="1"/>
  <c r="G204" i="4" s="1"/>
  <c r="E203" i="4"/>
  <c r="D203" i="4"/>
  <c r="F203" i="4" s="1"/>
  <c r="G203" i="4" s="1"/>
  <c r="E202" i="4"/>
  <c r="D202" i="4"/>
  <c r="F202" i="4" s="1"/>
  <c r="G202" i="4" s="1"/>
  <c r="E201" i="4"/>
  <c r="D201" i="4"/>
  <c r="F201" i="4" s="1"/>
  <c r="G201" i="4" s="1"/>
  <c r="E200" i="4"/>
  <c r="D200" i="4"/>
  <c r="F200" i="4" s="1"/>
  <c r="G200" i="4" s="1"/>
  <c r="E199" i="4"/>
  <c r="D199" i="4"/>
  <c r="F199" i="4" s="1"/>
  <c r="G199" i="4" s="1"/>
  <c r="E198" i="4"/>
  <c r="D198" i="4"/>
  <c r="F198" i="4" s="1"/>
  <c r="G198" i="4" s="1"/>
  <c r="E197" i="4"/>
  <c r="D197" i="4"/>
  <c r="F197" i="4" s="1"/>
  <c r="G197" i="4" s="1"/>
  <c r="E196" i="4"/>
  <c r="D196" i="4"/>
  <c r="F196" i="4" s="1"/>
  <c r="G196" i="4" s="1"/>
  <c r="E195" i="4"/>
  <c r="D195" i="4"/>
  <c r="F195" i="4" s="1"/>
  <c r="G195" i="4" s="1"/>
  <c r="E194" i="4"/>
  <c r="D194" i="4"/>
  <c r="F194" i="4" s="1"/>
  <c r="G194" i="4" s="1"/>
  <c r="E193" i="4"/>
  <c r="D193" i="4"/>
  <c r="F193" i="4" s="1"/>
  <c r="G193" i="4" s="1"/>
  <c r="E192" i="4"/>
  <c r="D192" i="4"/>
  <c r="F192" i="4" s="1"/>
  <c r="G192" i="4" s="1"/>
  <c r="E191" i="4"/>
  <c r="D191" i="4"/>
  <c r="F191" i="4" s="1"/>
  <c r="G191" i="4" s="1"/>
  <c r="E190" i="4"/>
  <c r="D190" i="4"/>
  <c r="F190" i="4" s="1"/>
  <c r="G190" i="4" s="1"/>
  <c r="E189" i="4"/>
  <c r="D189" i="4"/>
  <c r="F189" i="4" s="1"/>
  <c r="G189" i="4" s="1"/>
  <c r="E188" i="4"/>
  <c r="D188" i="4"/>
  <c r="F188" i="4" s="1"/>
  <c r="G188" i="4" s="1"/>
  <c r="E187" i="4"/>
  <c r="D187" i="4"/>
  <c r="F187" i="4" s="1"/>
  <c r="G187" i="4" s="1"/>
  <c r="E186" i="4"/>
  <c r="D186" i="4"/>
  <c r="F186" i="4" s="1"/>
  <c r="G186" i="4" s="1"/>
  <c r="E185" i="4"/>
  <c r="D185" i="4"/>
  <c r="F185" i="4" s="1"/>
  <c r="G185" i="4" s="1"/>
  <c r="E184" i="4"/>
  <c r="D184" i="4"/>
  <c r="F184" i="4" s="1"/>
  <c r="G184" i="4" s="1"/>
  <c r="E183" i="4"/>
  <c r="D183" i="4"/>
  <c r="F183" i="4" s="1"/>
  <c r="G183" i="4" s="1"/>
  <c r="E182" i="4"/>
  <c r="D182" i="4"/>
  <c r="F182" i="4" s="1"/>
  <c r="G182" i="4" s="1"/>
  <c r="E181" i="4"/>
  <c r="D181" i="4"/>
  <c r="F181" i="4" s="1"/>
  <c r="G181" i="4" s="1"/>
  <c r="E180" i="4"/>
  <c r="D180" i="4"/>
  <c r="F180" i="4" s="1"/>
  <c r="G180" i="4" s="1"/>
  <c r="E179" i="4"/>
  <c r="D179" i="4"/>
  <c r="F179" i="4" s="1"/>
  <c r="G179" i="4" s="1"/>
  <c r="E178" i="4"/>
  <c r="D178" i="4"/>
  <c r="F178" i="4" s="1"/>
  <c r="G178" i="4" s="1"/>
  <c r="E177" i="4"/>
  <c r="D177" i="4"/>
  <c r="F177" i="4" s="1"/>
  <c r="G177" i="4" s="1"/>
  <c r="E176" i="4"/>
  <c r="D176" i="4"/>
  <c r="F176" i="4" s="1"/>
  <c r="G176" i="4" s="1"/>
  <c r="E175" i="4"/>
  <c r="D175" i="4"/>
  <c r="F175" i="4" s="1"/>
  <c r="G175" i="4" s="1"/>
  <c r="E174" i="4"/>
  <c r="D174" i="4"/>
  <c r="F174" i="4" s="1"/>
  <c r="G174" i="4" s="1"/>
  <c r="E173" i="4"/>
  <c r="D173" i="4"/>
  <c r="F173" i="4" s="1"/>
  <c r="G173" i="4" s="1"/>
  <c r="E172" i="4"/>
  <c r="D172" i="4"/>
  <c r="F172" i="4" s="1"/>
  <c r="G172" i="4" s="1"/>
  <c r="E171" i="4"/>
  <c r="D171" i="4"/>
  <c r="F171" i="4" s="1"/>
  <c r="G171" i="4" s="1"/>
  <c r="E170" i="4"/>
  <c r="D170" i="4"/>
  <c r="F170" i="4" s="1"/>
  <c r="G170" i="4" s="1"/>
  <c r="E169" i="4"/>
  <c r="D169" i="4"/>
  <c r="F169" i="4" s="1"/>
  <c r="G169" i="4" s="1"/>
  <c r="E168" i="4"/>
  <c r="D168" i="4"/>
  <c r="F168" i="4" s="1"/>
  <c r="G168" i="4" s="1"/>
  <c r="E167" i="4"/>
  <c r="D167" i="4"/>
  <c r="F167" i="4" s="1"/>
  <c r="G167" i="4" s="1"/>
  <c r="E166" i="4"/>
  <c r="D166" i="4"/>
  <c r="F166" i="4" s="1"/>
  <c r="G166" i="4" s="1"/>
  <c r="E165" i="4"/>
  <c r="D165" i="4"/>
  <c r="F165" i="4" s="1"/>
  <c r="G165" i="4" s="1"/>
  <c r="E164" i="4"/>
  <c r="D164" i="4"/>
  <c r="F164" i="4" s="1"/>
  <c r="G164" i="4" s="1"/>
  <c r="E163" i="4"/>
  <c r="D163" i="4"/>
  <c r="F163" i="4" s="1"/>
  <c r="G163" i="4" s="1"/>
  <c r="E162" i="4"/>
  <c r="D162" i="4"/>
  <c r="F162" i="4" s="1"/>
  <c r="G162" i="4" s="1"/>
  <c r="E161" i="4"/>
  <c r="D161" i="4"/>
  <c r="F161" i="4" s="1"/>
  <c r="G161" i="4" s="1"/>
  <c r="E160" i="4"/>
  <c r="D160" i="4"/>
  <c r="F160" i="4" s="1"/>
  <c r="G160" i="4" s="1"/>
  <c r="E159" i="4"/>
  <c r="D159" i="4"/>
  <c r="F159" i="4" s="1"/>
  <c r="G159" i="4" s="1"/>
  <c r="E158" i="4"/>
  <c r="D158" i="4"/>
  <c r="F158" i="4" s="1"/>
  <c r="G158" i="4" s="1"/>
  <c r="E157" i="4"/>
  <c r="D157" i="4"/>
  <c r="F157" i="4" s="1"/>
  <c r="G157" i="4" s="1"/>
  <c r="E156" i="4"/>
  <c r="D156" i="4"/>
  <c r="F156" i="4" s="1"/>
  <c r="G156" i="4" s="1"/>
  <c r="E155" i="4"/>
  <c r="D155" i="4"/>
  <c r="F155" i="4" s="1"/>
  <c r="G155" i="4" s="1"/>
  <c r="E154" i="4"/>
  <c r="D154" i="4"/>
  <c r="F154" i="4" s="1"/>
  <c r="G154" i="4" s="1"/>
  <c r="E153" i="4"/>
  <c r="D153" i="4"/>
  <c r="F153" i="4" s="1"/>
  <c r="G153" i="4" s="1"/>
  <c r="E152" i="4"/>
  <c r="D152" i="4"/>
  <c r="F152" i="4" s="1"/>
  <c r="G152" i="4" s="1"/>
  <c r="E151" i="4"/>
  <c r="D151" i="4"/>
  <c r="F151" i="4" s="1"/>
  <c r="G151" i="4" s="1"/>
  <c r="E150" i="4"/>
  <c r="D150" i="4"/>
  <c r="F150" i="4" s="1"/>
  <c r="G150" i="4" s="1"/>
  <c r="E149" i="4"/>
  <c r="D149" i="4"/>
  <c r="F149" i="4" s="1"/>
  <c r="G149" i="4" s="1"/>
  <c r="E148" i="4"/>
  <c r="D148" i="4"/>
  <c r="F148" i="4" s="1"/>
  <c r="G148" i="4" s="1"/>
  <c r="E147" i="4"/>
  <c r="D147" i="4"/>
  <c r="F147" i="4" s="1"/>
  <c r="G147" i="4" s="1"/>
  <c r="E146" i="4"/>
  <c r="D146" i="4"/>
  <c r="F146" i="4" s="1"/>
  <c r="G146" i="4" s="1"/>
  <c r="E145" i="4"/>
  <c r="D145" i="4"/>
  <c r="F145" i="4" s="1"/>
  <c r="G145" i="4" s="1"/>
  <c r="E144" i="4"/>
  <c r="D144" i="4"/>
  <c r="F144" i="4" s="1"/>
  <c r="G144" i="4" s="1"/>
  <c r="E143" i="4"/>
  <c r="D143" i="4"/>
  <c r="F143" i="4" s="1"/>
  <c r="G143" i="4" s="1"/>
  <c r="E142" i="4"/>
  <c r="D142" i="4"/>
  <c r="F142" i="4" s="1"/>
  <c r="G142" i="4" s="1"/>
  <c r="E141" i="4"/>
  <c r="D141" i="4"/>
  <c r="F141" i="4" s="1"/>
  <c r="G141" i="4" s="1"/>
  <c r="E140" i="4"/>
  <c r="D140" i="4"/>
  <c r="F140" i="4" s="1"/>
  <c r="G140" i="4" s="1"/>
  <c r="E139" i="4"/>
  <c r="D139" i="4"/>
  <c r="F139" i="4" s="1"/>
  <c r="G139" i="4" s="1"/>
  <c r="E138" i="4"/>
  <c r="D138" i="4"/>
  <c r="F138" i="4" s="1"/>
  <c r="G138" i="4" s="1"/>
  <c r="E137" i="4"/>
  <c r="D137" i="4"/>
  <c r="F137" i="4" s="1"/>
  <c r="G137" i="4" s="1"/>
  <c r="E136" i="4"/>
  <c r="D136" i="4"/>
  <c r="F136" i="4" s="1"/>
  <c r="G136" i="4" s="1"/>
  <c r="E135" i="4"/>
  <c r="D135" i="4"/>
  <c r="F135" i="4" s="1"/>
  <c r="G135" i="4" s="1"/>
  <c r="E134" i="4"/>
  <c r="D134" i="4"/>
  <c r="F134" i="4" s="1"/>
  <c r="G134" i="4" s="1"/>
  <c r="E133" i="4"/>
  <c r="D133" i="4"/>
  <c r="F133" i="4" s="1"/>
  <c r="G133" i="4" s="1"/>
  <c r="E132" i="4"/>
  <c r="D132" i="4"/>
  <c r="F132" i="4" s="1"/>
  <c r="G132" i="4" s="1"/>
  <c r="E131" i="4"/>
  <c r="D131" i="4"/>
  <c r="F131" i="4" s="1"/>
  <c r="G131" i="4" s="1"/>
  <c r="E130" i="4"/>
  <c r="D130" i="4"/>
  <c r="F130" i="4" s="1"/>
  <c r="G130" i="4" s="1"/>
  <c r="E129" i="4"/>
  <c r="D129" i="4"/>
  <c r="F129" i="4" s="1"/>
  <c r="G129" i="4" s="1"/>
  <c r="E128" i="4"/>
  <c r="D128" i="4"/>
  <c r="F128" i="4" s="1"/>
  <c r="G128" i="4" s="1"/>
  <c r="E127" i="4"/>
  <c r="D127" i="4"/>
  <c r="F127" i="4" s="1"/>
  <c r="G127" i="4" s="1"/>
  <c r="E126" i="4"/>
  <c r="D126" i="4"/>
  <c r="F126" i="4" s="1"/>
  <c r="G126" i="4" s="1"/>
  <c r="E125" i="4"/>
  <c r="D125" i="4"/>
  <c r="F125" i="4" s="1"/>
  <c r="G125" i="4" s="1"/>
  <c r="E124" i="4"/>
  <c r="D124" i="4"/>
  <c r="F124" i="4" s="1"/>
  <c r="G124" i="4" s="1"/>
  <c r="E123" i="4"/>
  <c r="D123" i="4"/>
  <c r="F123" i="4" s="1"/>
  <c r="G123" i="4" s="1"/>
  <c r="E122" i="4"/>
  <c r="D122" i="4"/>
  <c r="F122" i="4" s="1"/>
  <c r="G122" i="4" s="1"/>
  <c r="E121" i="4"/>
  <c r="D121" i="4"/>
  <c r="F121" i="4" s="1"/>
  <c r="G121" i="4" s="1"/>
  <c r="E120" i="4"/>
  <c r="D120" i="4"/>
  <c r="F120" i="4" s="1"/>
  <c r="G120" i="4" s="1"/>
  <c r="E119" i="4"/>
  <c r="D119" i="4"/>
  <c r="F119" i="4" s="1"/>
  <c r="G119" i="4" s="1"/>
  <c r="E118" i="4"/>
  <c r="D118" i="4"/>
  <c r="F118" i="4" s="1"/>
  <c r="G118" i="4" s="1"/>
  <c r="E117" i="4"/>
  <c r="D117" i="4"/>
  <c r="F117" i="4" s="1"/>
  <c r="G117" i="4" s="1"/>
  <c r="E116" i="4"/>
  <c r="D116" i="4"/>
  <c r="F116" i="4" s="1"/>
  <c r="G116" i="4" s="1"/>
  <c r="E115" i="4"/>
  <c r="D115" i="4"/>
  <c r="F115" i="4" s="1"/>
  <c r="G115" i="4" s="1"/>
  <c r="E114" i="4"/>
  <c r="D114" i="4"/>
  <c r="F114" i="4" s="1"/>
  <c r="G114" i="4" s="1"/>
  <c r="E113" i="4"/>
  <c r="D113" i="4"/>
  <c r="F113" i="4" s="1"/>
  <c r="G113" i="4" s="1"/>
  <c r="E112" i="4"/>
  <c r="D112" i="4"/>
  <c r="F112" i="4" s="1"/>
  <c r="G112" i="4" s="1"/>
  <c r="E111" i="4"/>
  <c r="D111" i="4"/>
  <c r="F111" i="4" s="1"/>
  <c r="G111" i="4" s="1"/>
  <c r="E110" i="4"/>
  <c r="D110" i="4"/>
  <c r="F110" i="4" s="1"/>
  <c r="G110" i="4" s="1"/>
  <c r="E109" i="4"/>
  <c r="D109" i="4"/>
  <c r="F109" i="4" s="1"/>
  <c r="G109" i="4" s="1"/>
  <c r="E108" i="4"/>
  <c r="D108" i="4"/>
  <c r="F108" i="4" s="1"/>
  <c r="G108" i="4" s="1"/>
  <c r="E107" i="4"/>
  <c r="D107" i="4"/>
  <c r="F107" i="4" s="1"/>
  <c r="G107" i="4" s="1"/>
  <c r="E106" i="4"/>
  <c r="D106" i="4"/>
  <c r="F106" i="4" s="1"/>
  <c r="G106" i="4" s="1"/>
  <c r="E105" i="4"/>
  <c r="D105" i="4"/>
  <c r="F105" i="4" s="1"/>
  <c r="G105" i="4" s="1"/>
  <c r="E104" i="4"/>
  <c r="D104" i="4"/>
  <c r="F104" i="4" s="1"/>
  <c r="G104" i="4" s="1"/>
  <c r="E103" i="4"/>
  <c r="D103" i="4"/>
  <c r="F103" i="4" s="1"/>
  <c r="G103" i="4" s="1"/>
  <c r="E102" i="4"/>
  <c r="D102" i="4"/>
  <c r="F102" i="4" s="1"/>
  <c r="G102" i="4" s="1"/>
  <c r="E101" i="4"/>
  <c r="D101" i="4"/>
  <c r="F101" i="4" s="1"/>
  <c r="G101" i="4" s="1"/>
  <c r="E100" i="4"/>
  <c r="D100" i="4"/>
  <c r="F100" i="4" s="1"/>
  <c r="G100" i="4" s="1"/>
  <c r="E99" i="4"/>
  <c r="D99" i="4"/>
  <c r="F99" i="4" s="1"/>
  <c r="G99" i="4" s="1"/>
  <c r="E98" i="4"/>
  <c r="D98" i="4"/>
  <c r="F98" i="4" s="1"/>
  <c r="G98" i="4" s="1"/>
  <c r="E97" i="4"/>
  <c r="D97" i="4"/>
  <c r="F97" i="4" s="1"/>
  <c r="G97" i="4" s="1"/>
  <c r="E96" i="4"/>
  <c r="D96" i="4"/>
  <c r="F96" i="4" s="1"/>
  <c r="G96" i="4" s="1"/>
  <c r="E95" i="4"/>
  <c r="D95" i="4"/>
  <c r="F95" i="4" s="1"/>
  <c r="G95" i="4" s="1"/>
  <c r="E94" i="4"/>
  <c r="D94" i="4"/>
  <c r="F94" i="4" s="1"/>
  <c r="G94" i="4" s="1"/>
  <c r="E93" i="4"/>
  <c r="D93" i="4"/>
  <c r="F93" i="4" s="1"/>
  <c r="G93" i="4" s="1"/>
  <c r="E92" i="4"/>
  <c r="D92" i="4"/>
  <c r="F92" i="4" s="1"/>
  <c r="G92" i="4" s="1"/>
  <c r="E91" i="4"/>
  <c r="D91" i="4"/>
  <c r="F91" i="4" s="1"/>
  <c r="G91" i="4" s="1"/>
  <c r="E90" i="4"/>
  <c r="D90" i="4"/>
  <c r="F90" i="4" s="1"/>
  <c r="G90" i="4" s="1"/>
  <c r="E89" i="4"/>
  <c r="D89" i="4"/>
  <c r="F89" i="4" s="1"/>
  <c r="G89" i="4" s="1"/>
  <c r="E88" i="4"/>
  <c r="D88" i="4"/>
  <c r="F88" i="4" s="1"/>
  <c r="G88" i="4" s="1"/>
  <c r="E87" i="4"/>
  <c r="D87" i="4"/>
  <c r="F87" i="4" s="1"/>
  <c r="G87" i="4" s="1"/>
  <c r="E86" i="4"/>
  <c r="D86" i="4"/>
  <c r="F86" i="4" s="1"/>
  <c r="G86" i="4" s="1"/>
  <c r="E85" i="4"/>
  <c r="D85" i="4"/>
  <c r="F85" i="4" s="1"/>
  <c r="G85" i="4" s="1"/>
  <c r="E84" i="4"/>
  <c r="D84" i="4"/>
  <c r="F84" i="4" s="1"/>
  <c r="G84" i="4" s="1"/>
  <c r="E83" i="4"/>
  <c r="D83" i="4"/>
  <c r="F83" i="4" s="1"/>
  <c r="G83" i="4" s="1"/>
  <c r="E82" i="4"/>
  <c r="D82" i="4"/>
  <c r="F82" i="4" s="1"/>
  <c r="G82" i="4" s="1"/>
  <c r="E81" i="4"/>
  <c r="D81" i="4"/>
  <c r="F81" i="4" s="1"/>
  <c r="G81" i="4" s="1"/>
  <c r="E80" i="4"/>
  <c r="D80" i="4"/>
  <c r="F80" i="4" s="1"/>
  <c r="G80" i="4" s="1"/>
  <c r="E79" i="4"/>
  <c r="D79" i="4"/>
  <c r="F79" i="4" s="1"/>
  <c r="G79" i="4" s="1"/>
  <c r="E78" i="4"/>
  <c r="D78" i="4"/>
  <c r="F78" i="4" s="1"/>
  <c r="G78" i="4" s="1"/>
  <c r="E77" i="4"/>
  <c r="D77" i="4"/>
  <c r="F77" i="4" s="1"/>
  <c r="G77" i="4" s="1"/>
  <c r="E76" i="4"/>
  <c r="D76" i="4"/>
  <c r="F76" i="4" s="1"/>
  <c r="G76" i="4" s="1"/>
  <c r="E75" i="4"/>
  <c r="D75" i="4"/>
  <c r="F75" i="4" s="1"/>
  <c r="G75" i="4" s="1"/>
  <c r="E74" i="4"/>
  <c r="D74" i="4"/>
  <c r="F74" i="4" s="1"/>
  <c r="G74" i="4" s="1"/>
  <c r="E73" i="4"/>
  <c r="D73" i="4"/>
  <c r="F73" i="4" s="1"/>
  <c r="G73" i="4" s="1"/>
  <c r="E72" i="4"/>
  <c r="D72" i="4"/>
  <c r="F72" i="4" s="1"/>
  <c r="G72" i="4" s="1"/>
  <c r="E71" i="4"/>
  <c r="D71" i="4"/>
  <c r="F71" i="4" s="1"/>
  <c r="G71" i="4" s="1"/>
  <c r="E70" i="4"/>
  <c r="D70" i="4"/>
  <c r="F70" i="4" s="1"/>
  <c r="G70" i="4" s="1"/>
  <c r="E69" i="4"/>
  <c r="D69" i="4"/>
  <c r="F69" i="4" s="1"/>
  <c r="G69" i="4" s="1"/>
  <c r="E68" i="4"/>
  <c r="D68" i="4"/>
  <c r="F68" i="4" s="1"/>
  <c r="G68" i="4" s="1"/>
  <c r="E67" i="4"/>
  <c r="D67" i="4"/>
  <c r="F67" i="4" s="1"/>
  <c r="G67" i="4" s="1"/>
  <c r="E66" i="4"/>
  <c r="D66" i="4"/>
  <c r="F66" i="4" s="1"/>
  <c r="G66" i="4" s="1"/>
  <c r="E65" i="4"/>
  <c r="D65" i="4"/>
  <c r="F65" i="4" s="1"/>
  <c r="G65" i="4" s="1"/>
  <c r="E64" i="4"/>
  <c r="D64" i="4"/>
  <c r="F64" i="4" s="1"/>
  <c r="G64" i="4" s="1"/>
  <c r="E63" i="4"/>
  <c r="D63" i="4"/>
  <c r="F63" i="4" s="1"/>
  <c r="G63" i="4" s="1"/>
  <c r="E62" i="4"/>
  <c r="D62" i="4"/>
  <c r="F62" i="4" s="1"/>
  <c r="G62" i="4" s="1"/>
  <c r="E61" i="4"/>
  <c r="D61" i="4"/>
  <c r="F61" i="4" s="1"/>
  <c r="G61" i="4" s="1"/>
  <c r="E60" i="4"/>
  <c r="D60" i="4"/>
  <c r="F60" i="4" s="1"/>
  <c r="G60" i="4" s="1"/>
  <c r="E59" i="4"/>
  <c r="D59" i="4"/>
  <c r="F59" i="4" s="1"/>
  <c r="G59" i="4" s="1"/>
  <c r="E58" i="4"/>
  <c r="D58" i="4"/>
  <c r="F58" i="4" s="1"/>
  <c r="G58" i="4" s="1"/>
  <c r="E57" i="4"/>
  <c r="D57" i="4"/>
  <c r="F57" i="4" s="1"/>
  <c r="G57" i="4" s="1"/>
  <c r="E56" i="4"/>
  <c r="D56" i="4"/>
  <c r="F56" i="4" s="1"/>
  <c r="G56" i="4" s="1"/>
  <c r="E55" i="4"/>
  <c r="D55" i="4"/>
  <c r="F55" i="4" s="1"/>
  <c r="G55" i="4" s="1"/>
  <c r="E54" i="4"/>
  <c r="D54" i="4"/>
  <c r="F54" i="4" s="1"/>
  <c r="G54" i="4" s="1"/>
  <c r="E53" i="4"/>
  <c r="D53" i="4"/>
  <c r="F53" i="4" s="1"/>
  <c r="G53" i="4" s="1"/>
  <c r="E52" i="4"/>
  <c r="D52" i="4"/>
  <c r="F52" i="4" s="1"/>
  <c r="G52" i="4" s="1"/>
  <c r="E51" i="4"/>
  <c r="D51" i="4"/>
  <c r="F51" i="4" s="1"/>
  <c r="G51" i="4" s="1"/>
  <c r="E50" i="4"/>
  <c r="D50" i="4"/>
  <c r="F50" i="4" s="1"/>
  <c r="G50" i="4" s="1"/>
  <c r="E49" i="4"/>
  <c r="D49" i="4"/>
  <c r="F49" i="4" s="1"/>
  <c r="G49" i="4" s="1"/>
  <c r="E48" i="4"/>
  <c r="D48" i="4"/>
  <c r="F48" i="4" s="1"/>
  <c r="G48" i="4" s="1"/>
  <c r="E47" i="4"/>
  <c r="D47" i="4"/>
  <c r="F47" i="4" s="1"/>
  <c r="G47" i="4" s="1"/>
  <c r="E46" i="4"/>
  <c r="D46" i="4"/>
  <c r="F46" i="4" s="1"/>
  <c r="G46" i="4" s="1"/>
  <c r="E45" i="4"/>
  <c r="D45" i="4"/>
  <c r="F45" i="4" s="1"/>
  <c r="G45" i="4" s="1"/>
  <c r="E44" i="4"/>
  <c r="D44" i="4"/>
  <c r="F44" i="4" s="1"/>
  <c r="G44" i="4" s="1"/>
  <c r="E43" i="4"/>
  <c r="D43" i="4"/>
  <c r="F43" i="4" s="1"/>
  <c r="G43" i="4" s="1"/>
  <c r="E42" i="4"/>
  <c r="D42" i="4"/>
  <c r="F42" i="4" s="1"/>
  <c r="G42" i="4" s="1"/>
  <c r="E41" i="4"/>
  <c r="D41" i="4"/>
  <c r="F41" i="4" s="1"/>
  <c r="G41" i="4" s="1"/>
  <c r="E40" i="4"/>
  <c r="D40" i="4"/>
  <c r="F40" i="4" s="1"/>
  <c r="G40" i="4" s="1"/>
  <c r="E39" i="4"/>
  <c r="D39" i="4"/>
  <c r="F39" i="4" s="1"/>
  <c r="G39" i="4" s="1"/>
  <c r="E38" i="4"/>
  <c r="D38" i="4"/>
  <c r="F38" i="4" s="1"/>
  <c r="G38" i="4" s="1"/>
  <c r="E37" i="4"/>
  <c r="D37" i="4"/>
  <c r="F37" i="4" s="1"/>
  <c r="G37" i="4" s="1"/>
  <c r="E36" i="4"/>
  <c r="D36" i="4"/>
  <c r="F36" i="4" s="1"/>
  <c r="G36" i="4" s="1"/>
  <c r="E35" i="4"/>
  <c r="D35" i="4"/>
  <c r="F35" i="4" s="1"/>
  <c r="G35" i="4" s="1"/>
  <c r="E34" i="4"/>
  <c r="D34" i="4"/>
  <c r="F34" i="4" s="1"/>
  <c r="G34" i="4" s="1"/>
  <c r="E33" i="4"/>
  <c r="D33" i="4"/>
  <c r="F33" i="4" s="1"/>
  <c r="G33" i="4" s="1"/>
  <c r="E32" i="4"/>
  <c r="D32" i="4"/>
  <c r="F32" i="4" s="1"/>
  <c r="G32" i="4" s="1"/>
  <c r="E31" i="4"/>
  <c r="D31" i="4"/>
  <c r="F31" i="4" s="1"/>
  <c r="G31" i="4" s="1"/>
  <c r="E30" i="4"/>
  <c r="D30" i="4"/>
  <c r="F30" i="4" s="1"/>
  <c r="G30" i="4" s="1"/>
  <c r="E29" i="4"/>
  <c r="D29" i="4"/>
  <c r="F29" i="4" s="1"/>
  <c r="G29" i="4" s="1"/>
  <c r="E28" i="4"/>
  <c r="D28" i="4"/>
  <c r="F28" i="4" s="1"/>
  <c r="G28" i="4" s="1"/>
  <c r="E27" i="4"/>
  <c r="D27" i="4"/>
  <c r="F27" i="4" s="1"/>
  <c r="G27" i="4" s="1"/>
  <c r="E26" i="4"/>
  <c r="D26" i="4"/>
  <c r="F26" i="4" s="1"/>
  <c r="G26" i="4" s="1"/>
  <c r="E25" i="4"/>
  <c r="D25" i="4"/>
  <c r="F25" i="4" s="1"/>
  <c r="G25" i="4" s="1"/>
  <c r="E24" i="4"/>
  <c r="D24" i="4"/>
  <c r="F24" i="4" s="1"/>
  <c r="G24" i="4" s="1"/>
  <c r="E23" i="4"/>
  <c r="D23" i="4"/>
  <c r="F23" i="4" s="1"/>
  <c r="G23" i="4" s="1"/>
  <c r="E22" i="4"/>
  <c r="D22" i="4"/>
  <c r="F22" i="4" s="1"/>
  <c r="G22" i="4" s="1"/>
  <c r="E21" i="4"/>
  <c r="D21" i="4"/>
  <c r="F21" i="4" s="1"/>
  <c r="G21" i="4" s="1"/>
  <c r="E20" i="4"/>
  <c r="D20" i="4"/>
  <c r="F20" i="4" s="1"/>
  <c r="G20" i="4" s="1"/>
  <c r="E19" i="4"/>
  <c r="D19" i="4"/>
  <c r="F19" i="4" s="1"/>
  <c r="G19" i="4" s="1"/>
  <c r="E18" i="4"/>
  <c r="D18" i="4"/>
  <c r="F18" i="4" s="1"/>
  <c r="G18" i="4" s="1"/>
  <c r="E17" i="4"/>
  <c r="D17" i="4"/>
  <c r="F17" i="4" s="1"/>
  <c r="G17" i="4" s="1"/>
  <c r="E16" i="4"/>
  <c r="D16" i="4"/>
  <c r="F16" i="4" s="1"/>
  <c r="G16" i="4" s="1"/>
  <c r="E15" i="4"/>
  <c r="D15" i="4"/>
  <c r="F15" i="4" s="1"/>
  <c r="G15" i="4" s="1"/>
  <c r="F11" i="4"/>
  <c r="G11" i="4" s="1"/>
  <c r="F10" i="4"/>
  <c r="G10" i="4" s="1"/>
  <c r="F9" i="4"/>
  <c r="G9" i="4" s="1"/>
  <c r="F8" i="4"/>
  <c r="G8" i="4" s="1"/>
  <c r="F264" i="3"/>
  <c r="E264" i="3"/>
  <c r="F263" i="3"/>
  <c r="E263" i="3"/>
  <c r="G263" i="3" s="1"/>
  <c r="F262" i="3"/>
  <c r="E262" i="3"/>
  <c r="G262" i="3" s="1"/>
  <c r="F261" i="3"/>
  <c r="E261" i="3"/>
  <c r="G261" i="3" s="1"/>
  <c r="F260" i="3"/>
  <c r="E260" i="3"/>
  <c r="G260" i="3" s="1"/>
  <c r="F259" i="3"/>
  <c r="E259" i="3"/>
  <c r="F258" i="3"/>
  <c r="E258" i="3"/>
  <c r="F257" i="3"/>
  <c r="E257" i="3"/>
  <c r="G257" i="3" s="1"/>
  <c r="F256" i="3"/>
  <c r="E256" i="3"/>
  <c r="F255" i="3"/>
  <c r="E255" i="3"/>
  <c r="G255" i="3" s="1"/>
  <c r="F254" i="3"/>
  <c r="E254" i="3"/>
  <c r="G254" i="3" s="1"/>
  <c r="F253" i="3"/>
  <c r="E253" i="3"/>
  <c r="G253" i="3" s="1"/>
  <c r="F252" i="3"/>
  <c r="E252" i="3"/>
  <c r="F251" i="3"/>
  <c r="E251" i="3"/>
  <c r="G251" i="3" s="1"/>
  <c r="F250" i="3"/>
  <c r="E250" i="3"/>
  <c r="G250" i="3" s="1"/>
  <c r="F249" i="3"/>
  <c r="E249" i="3"/>
  <c r="G249" i="3" s="1"/>
  <c r="F248" i="3"/>
  <c r="E248" i="3"/>
  <c r="G248" i="3" s="1"/>
  <c r="F247" i="3"/>
  <c r="E247" i="3"/>
  <c r="F246" i="3"/>
  <c r="E246" i="3"/>
  <c r="F245" i="3"/>
  <c r="E245" i="3"/>
  <c r="G245" i="3" s="1"/>
  <c r="F244" i="3"/>
  <c r="E244" i="3"/>
  <c r="F243" i="3"/>
  <c r="E243" i="3"/>
  <c r="G243" i="3" s="1"/>
  <c r="F242" i="3"/>
  <c r="E242" i="3"/>
  <c r="G242" i="3" s="1"/>
  <c r="F241" i="3"/>
  <c r="E241" i="3"/>
  <c r="G241" i="3" s="1"/>
  <c r="F240" i="3"/>
  <c r="E240" i="3"/>
  <c r="F239" i="3"/>
  <c r="E239" i="3"/>
  <c r="G239" i="3" s="1"/>
  <c r="F238" i="3"/>
  <c r="E238" i="3"/>
  <c r="G238" i="3" s="1"/>
  <c r="F237" i="3"/>
  <c r="E237" i="3"/>
  <c r="G237" i="3" s="1"/>
  <c r="F236" i="3"/>
  <c r="E236" i="3"/>
  <c r="G236" i="3" s="1"/>
  <c r="F235" i="3"/>
  <c r="E235" i="3"/>
  <c r="F234" i="3"/>
  <c r="E234" i="3"/>
  <c r="F233" i="3"/>
  <c r="E233" i="3"/>
  <c r="G233" i="3" s="1"/>
  <c r="F232" i="3"/>
  <c r="E232" i="3"/>
  <c r="F231" i="3"/>
  <c r="E231" i="3"/>
  <c r="G231" i="3" s="1"/>
  <c r="F230" i="3"/>
  <c r="E230" i="3"/>
  <c r="G230" i="3" s="1"/>
  <c r="F229" i="3"/>
  <c r="E229" i="3"/>
  <c r="G229" i="3" s="1"/>
  <c r="F228" i="3"/>
  <c r="E228" i="3"/>
  <c r="G228" i="3" s="1"/>
  <c r="F227" i="3"/>
  <c r="E227" i="3"/>
  <c r="G227" i="3" s="1"/>
  <c r="F226" i="3"/>
  <c r="E226" i="3"/>
  <c r="G226" i="3" s="1"/>
  <c r="F225" i="3"/>
  <c r="E225" i="3"/>
  <c r="G225" i="3" s="1"/>
  <c r="F224" i="3"/>
  <c r="E224" i="3"/>
  <c r="G224" i="3" s="1"/>
  <c r="F223" i="3"/>
  <c r="E223" i="3"/>
  <c r="F222" i="3"/>
  <c r="E222" i="3"/>
  <c r="F221" i="3"/>
  <c r="E221" i="3"/>
  <c r="G221" i="3" s="1"/>
  <c r="F220" i="3"/>
  <c r="E220" i="3"/>
  <c r="F219" i="3"/>
  <c r="E219" i="3"/>
  <c r="G219" i="3" s="1"/>
  <c r="F218" i="3"/>
  <c r="E218" i="3"/>
  <c r="G218" i="3" s="1"/>
  <c r="F217" i="3"/>
  <c r="E217" i="3"/>
  <c r="G217" i="3" s="1"/>
  <c r="F216" i="3"/>
  <c r="E216" i="3"/>
  <c r="F215" i="3"/>
  <c r="E215" i="3"/>
  <c r="G215" i="3" s="1"/>
  <c r="F214" i="3"/>
  <c r="E214" i="3"/>
  <c r="G214" i="3" s="1"/>
  <c r="F213" i="3"/>
  <c r="E213" i="3"/>
  <c r="G213" i="3" s="1"/>
  <c r="F212" i="3"/>
  <c r="E212" i="3"/>
  <c r="G212" i="3" s="1"/>
  <c r="F211" i="3"/>
  <c r="E211" i="3"/>
  <c r="F210" i="3"/>
  <c r="E210" i="3"/>
  <c r="F209" i="3"/>
  <c r="E209" i="3"/>
  <c r="G209" i="3" s="1"/>
  <c r="F208" i="3"/>
  <c r="E208" i="3"/>
  <c r="F207" i="3"/>
  <c r="E207" i="3"/>
  <c r="G207" i="3" s="1"/>
  <c r="F206" i="3"/>
  <c r="E206" i="3"/>
  <c r="G206" i="3" s="1"/>
  <c r="F205" i="3"/>
  <c r="E205" i="3"/>
  <c r="G205" i="3" s="1"/>
  <c r="F204" i="3"/>
  <c r="E204" i="3"/>
  <c r="G204" i="3" s="1"/>
  <c r="F203" i="3"/>
  <c r="E203" i="3"/>
  <c r="G203" i="3" s="1"/>
  <c r="F202" i="3"/>
  <c r="E202" i="3"/>
  <c r="G202" i="3" s="1"/>
  <c r="F201" i="3"/>
  <c r="E201" i="3"/>
  <c r="G201" i="3" s="1"/>
  <c r="F200" i="3"/>
  <c r="E200" i="3"/>
  <c r="G200" i="3" s="1"/>
  <c r="F199" i="3"/>
  <c r="E199" i="3"/>
  <c r="F198" i="3"/>
  <c r="E198" i="3"/>
  <c r="G198" i="3" s="1"/>
  <c r="F197" i="3"/>
  <c r="E197" i="3"/>
  <c r="G197" i="3" s="1"/>
  <c r="F196" i="3"/>
  <c r="E196" i="3"/>
  <c r="F195" i="3"/>
  <c r="E195" i="3"/>
  <c r="G195" i="3" s="1"/>
  <c r="F194" i="3"/>
  <c r="E194" i="3"/>
  <c r="G194" i="3" s="1"/>
  <c r="F193" i="3"/>
  <c r="E193" i="3"/>
  <c r="G193" i="3" s="1"/>
  <c r="F192" i="3"/>
  <c r="E192" i="3"/>
  <c r="G192" i="3" s="1"/>
  <c r="F191" i="3"/>
  <c r="E191" i="3"/>
  <c r="G191" i="3" s="1"/>
  <c r="F190" i="3"/>
  <c r="E190" i="3"/>
  <c r="G190" i="3" s="1"/>
  <c r="F189" i="3"/>
  <c r="E189" i="3"/>
  <c r="G189" i="3" s="1"/>
  <c r="F188" i="3"/>
  <c r="E188" i="3"/>
  <c r="G188" i="3" s="1"/>
  <c r="F187" i="3"/>
  <c r="E187" i="3"/>
  <c r="F186" i="3"/>
  <c r="E186" i="3"/>
  <c r="G186" i="3" s="1"/>
  <c r="F185" i="3"/>
  <c r="E185" i="3"/>
  <c r="G185" i="3" s="1"/>
  <c r="F184" i="3"/>
  <c r="E184" i="3"/>
  <c r="F183" i="3"/>
  <c r="E183" i="3"/>
  <c r="G183" i="3" s="1"/>
  <c r="F182" i="3"/>
  <c r="E182" i="3"/>
  <c r="G182" i="3" s="1"/>
  <c r="F181" i="3"/>
  <c r="E181" i="3"/>
  <c r="G181" i="3" s="1"/>
  <c r="F180" i="3"/>
  <c r="E180" i="3"/>
  <c r="F179" i="3"/>
  <c r="E179" i="3"/>
  <c r="G179" i="3" s="1"/>
  <c r="F178" i="3"/>
  <c r="E178" i="3"/>
  <c r="G178" i="3" s="1"/>
  <c r="F177" i="3"/>
  <c r="E177" i="3"/>
  <c r="G177" i="3" s="1"/>
  <c r="F176" i="3"/>
  <c r="E176" i="3"/>
  <c r="G176" i="3" s="1"/>
  <c r="F175" i="3"/>
  <c r="E175" i="3"/>
  <c r="F174" i="3"/>
  <c r="E174" i="3"/>
  <c r="F173" i="3"/>
  <c r="E173" i="3"/>
  <c r="G173" i="3" s="1"/>
  <c r="F172" i="3"/>
  <c r="E172" i="3"/>
  <c r="F171" i="3"/>
  <c r="E171" i="3"/>
  <c r="G171" i="3" s="1"/>
  <c r="F170" i="3"/>
  <c r="E170" i="3"/>
  <c r="G170" i="3" s="1"/>
  <c r="F169" i="3"/>
  <c r="E169" i="3"/>
  <c r="G169" i="3" s="1"/>
  <c r="F168" i="3"/>
  <c r="E168" i="3"/>
  <c r="F167" i="3"/>
  <c r="E167" i="3"/>
  <c r="G167" i="3" s="1"/>
  <c r="F166" i="3"/>
  <c r="E166" i="3"/>
  <c r="G166" i="3" s="1"/>
  <c r="F165" i="3"/>
  <c r="E165" i="3"/>
  <c r="G165" i="3" s="1"/>
  <c r="F164" i="3"/>
  <c r="E164" i="3"/>
  <c r="G164" i="3" s="1"/>
  <c r="F163" i="3"/>
  <c r="E163" i="3"/>
  <c r="F162" i="3"/>
  <c r="E162" i="3"/>
  <c r="F161" i="3"/>
  <c r="E161" i="3"/>
  <c r="G161" i="3" s="1"/>
  <c r="F160" i="3"/>
  <c r="E160" i="3"/>
  <c r="F159" i="3"/>
  <c r="E159" i="3"/>
  <c r="G159" i="3" s="1"/>
  <c r="F158" i="3"/>
  <c r="E158" i="3"/>
  <c r="G158" i="3" s="1"/>
  <c r="F157" i="3"/>
  <c r="E157" i="3"/>
  <c r="G157" i="3" s="1"/>
  <c r="F156" i="3"/>
  <c r="E156" i="3"/>
  <c r="F155" i="3"/>
  <c r="E155" i="3"/>
  <c r="G155" i="3" s="1"/>
  <c r="F154" i="3"/>
  <c r="E154" i="3"/>
  <c r="G154" i="3" s="1"/>
  <c r="F153" i="3"/>
  <c r="E153" i="3"/>
  <c r="G153" i="3" s="1"/>
  <c r="F152" i="3"/>
  <c r="E152" i="3"/>
  <c r="G152" i="3" s="1"/>
  <c r="F151" i="3"/>
  <c r="E151" i="3"/>
  <c r="F150" i="3"/>
  <c r="E150" i="3"/>
  <c r="F149" i="3"/>
  <c r="E149" i="3"/>
  <c r="G149" i="3" s="1"/>
  <c r="F148" i="3"/>
  <c r="E148" i="3"/>
  <c r="F147" i="3"/>
  <c r="E147" i="3"/>
  <c r="G147" i="3" s="1"/>
  <c r="F146" i="3"/>
  <c r="E146" i="3"/>
  <c r="G146" i="3" s="1"/>
  <c r="F145" i="3"/>
  <c r="E145" i="3"/>
  <c r="G145" i="3" s="1"/>
  <c r="F144" i="3"/>
  <c r="E144" i="3"/>
  <c r="F143" i="3"/>
  <c r="E143" i="3"/>
  <c r="G143" i="3" s="1"/>
  <c r="F142" i="3"/>
  <c r="E142" i="3"/>
  <c r="G142" i="3" s="1"/>
  <c r="F141" i="3"/>
  <c r="E141" i="3"/>
  <c r="G141" i="3" s="1"/>
  <c r="F140" i="3"/>
  <c r="E140" i="3"/>
  <c r="G140" i="3" s="1"/>
  <c r="F139" i="3"/>
  <c r="E139" i="3"/>
  <c r="F138" i="3"/>
  <c r="E138" i="3"/>
  <c r="F137" i="3"/>
  <c r="E137" i="3"/>
  <c r="G137" i="3" s="1"/>
  <c r="F136" i="3"/>
  <c r="E136" i="3"/>
  <c r="F135" i="3"/>
  <c r="E135" i="3"/>
  <c r="G135" i="3" s="1"/>
  <c r="F134" i="3"/>
  <c r="E134" i="3"/>
  <c r="G134" i="3" s="1"/>
  <c r="F133" i="3"/>
  <c r="E133" i="3"/>
  <c r="G133" i="3" s="1"/>
  <c r="F132" i="3"/>
  <c r="E132" i="3"/>
  <c r="F131" i="3"/>
  <c r="E131" i="3"/>
  <c r="G131" i="3" s="1"/>
  <c r="F130" i="3"/>
  <c r="E130" i="3"/>
  <c r="G130" i="3" s="1"/>
  <c r="F129" i="3"/>
  <c r="E129" i="3"/>
  <c r="G129" i="3" s="1"/>
  <c r="F128" i="3"/>
  <c r="E128" i="3"/>
  <c r="G128" i="3" s="1"/>
  <c r="F127" i="3"/>
  <c r="E127" i="3"/>
  <c r="F126" i="3"/>
  <c r="E126" i="3"/>
  <c r="F125" i="3"/>
  <c r="E125" i="3"/>
  <c r="G125" i="3" s="1"/>
  <c r="F124" i="3"/>
  <c r="E124" i="3"/>
  <c r="F123" i="3"/>
  <c r="E123" i="3"/>
  <c r="G123" i="3" s="1"/>
  <c r="F122" i="3"/>
  <c r="E122" i="3"/>
  <c r="G122" i="3" s="1"/>
  <c r="F121" i="3"/>
  <c r="E121" i="3"/>
  <c r="G121" i="3" s="1"/>
  <c r="F120" i="3"/>
  <c r="E120" i="3"/>
  <c r="F119" i="3"/>
  <c r="E119" i="3"/>
  <c r="G119" i="3" s="1"/>
  <c r="F118" i="3"/>
  <c r="E118" i="3"/>
  <c r="G118" i="3" s="1"/>
  <c r="F117" i="3"/>
  <c r="E117" i="3"/>
  <c r="G117" i="3" s="1"/>
  <c r="F116" i="3"/>
  <c r="E116" i="3"/>
  <c r="G116" i="3" s="1"/>
  <c r="F115" i="3"/>
  <c r="E115" i="3"/>
  <c r="F114" i="3"/>
  <c r="E114" i="3"/>
  <c r="F113" i="3"/>
  <c r="E113" i="3"/>
  <c r="G113" i="3" s="1"/>
  <c r="F112" i="3"/>
  <c r="E112" i="3"/>
  <c r="F111" i="3"/>
  <c r="E111" i="3"/>
  <c r="G111" i="3" s="1"/>
  <c r="F110" i="3"/>
  <c r="E110" i="3"/>
  <c r="G110" i="3" s="1"/>
  <c r="F109" i="3"/>
  <c r="E109" i="3"/>
  <c r="G109" i="3" s="1"/>
  <c r="F108" i="3"/>
  <c r="E108" i="3"/>
  <c r="F107" i="3"/>
  <c r="E107" i="3"/>
  <c r="G107" i="3" s="1"/>
  <c r="F106" i="3"/>
  <c r="E106" i="3"/>
  <c r="G106" i="3" s="1"/>
  <c r="F105" i="3"/>
  <c r="E105" i="3"/>
  <c r="G105" i="3" s="1"/>
  <c r="F104" i="3"/>
  <c r="E104" i="3"/>
  <c r="G104" i="3" s="1"/>
  <c r="F103" i="3"/>
  <c r="E103" i="3"/>
  <c r="F102" i="3"/>
  <c r="E102" i="3"/>
  <c r="F101" i="3"/>
  <c r="E101" i="3"/>
  <c r="G101" i="3" s="1"/>
  <c r="F100" i="3"/>
  <c r="E100" i="3"/>
  <c r="F99" i="3"/>
  <c r="E99" i="3"/>
  <c r="G99" i="3" s="1"/>
  <c r="F98" i="3"/>
  <c r="E98" i="3"/>
  <c r="G98" i="3" s="1"/>
  <c r="F97" i="3"/>
  <c r="E97" i="3"/>
  <c r="G97" i="3" s="1"/>
  <c r="F96" i="3"/>
  <c r="E96" i="3"/>
  <c r="F95" i="3"/>
  <c r="E95" i="3"/>
  <c r="G95" i="3" s="1"/>
  <c r="F94" i="3"/>
  <c r="E94" i="3"/>
  <c r="G94" i="3" s="1"/>
  <c r="F93" i="3"/>
  <c r="E93" i="3"/>
  <c r="G93" i="3" s="1"/>
  <c r="F92" i="3"/>
  <c r="E92" i="3"/>
  <c r="G92" i="3" s="1"/>
  <c r="F91" i="3"/>
  <c r="E91" i="3"/>
  <c r="F90" i="3"/>
  <c r="E90" i="3"/>
  <c r="F89" i="3"/>
  <c r="E89" i="3"/>
  <c r="G89" i="3" s="1"/>
  <c r="F88" i="3"/>
  <c r="E88" i="3"/>
  <c r="F87" i="3"/>
  <c r="E87" i="3"/>
  <c r="G87" i="3" s="1"/>
  <c r="F86" i="3"/>
  <c r="E86" i="3"/>
  <c r="G86" i="3" s="1"/>
  <c r="F85" i="3"/>
  <c r="E85" i="3"/>
  <c r="G85" i="3" s="1"/>
  <c r="F84" i="3"/>
  <c r="E84" i="3"/>
  <c r="F83" i="3"/>
  <c r="E83" i="3"/>
  <c r="G83" i="3" s="1"/>
  <c r="F82" i="3"/>
  <c r="E82" i="3"/>
  <c r="G82" i="3" s="1"/>
  <c r="F81" i="3"/>
  <c r="E81" i="3"/>
  <c r="G81" i="3" s="1"/>
  <c r="F80" i="3"/>
  <c r="E80" i="3"/>
  <c r="G80" i="3" s="1"/>
  <c r="F79" i="3"/>
  <c r="E79" i="3"/>
  <c r="F78" i="3"/>
  <c r="E78" i="3"/>
  <c r="F77" i="3"/>
  <c r="E77" i="3"/>
  <c r="G77" i="3" s="1"/>
  <c r="F76" i="3"/>
  <c r="E76" i="3"/>
  <c r="F75" i="3"/>
  <c r="E75" i="3"/>
  <c r="G75" i="3" s="1"/>
  <c r="F74" i="3"/>
  <c r="E74" i="3"/>
  <c r="G74" i="3" s="1"/>
  <c r="F73" i="3"/>
  <c r="E73" i="3"/>
  <c r="G73" i="3" s="1"/>
  <c r="F72" i="3"/>
  <c r="E72" i="3"/>
  <c r="F71" i="3"/>
  <c r="E71" i="3"/>
  <c r="G71" i="3" s="1"/>
  <c r="F70" i="3"/>
  <c r="E70" i="3"/>
  <c r="G70" i="3" s="1"/>
  <c r="F69" i="3"/>
  <c r="E69" i="3"/>
  <c r="G69" i="3" s="1"/>
  <c r="F68" i="3"/>
  <c r="E68" i="3"/>
  <c r="G68" i="3" s="1"/>
  <c r="F67" i="3"/>
  <c r="E67" i="3"/>
  <c r="F66" i="3"/>
  <c r="E66" i="3"/>
  <c r="F65" i="3"/>
  <c r="E65" i="3"/>
  <c r="G65" i="3" s="1"/>
  <c r="F64" i="3"/>
  <c r="E64" i="3"/>
  <c r="F63" i="3"/>
  <c r="E63" i="3"/>
  <c r="G63" i="3" s="1"/>
  <c r="F62" i="3"/>
  <c r="E62" i="3"/>
  <c r="G62" i="3" s="1"/>
  <c r="F61" i="3"/>
  <c r="E61" i="3"/>
  <c r="G61" i="3" s="1"/>
  <c r="F60" i="3"/>
  <c r="E60" i="3"/>
  <c r="G60" i="3" s="1"/>
  <c r="F59" i="3"/>
  <c r="E59" i="3"/>
  <c r="G59" i="3" s="1"/>
  <c r="F58" i="3"/>
  <c r="E58" i="3"/>
  <c r="G58" i="3" s="1"/>
  <c r="F57" i="3"/>
  <c r="E57" i="3"/>
  <c r="G57" i="3" s="1"/>
  <c r="F56" i="3"/>
  <c r="E56" i="3"/>
  <c r="G56" i="3" s="1"/>
  <c r="F55" i="3"/>
  <c r="E55" i="3"/>
  <c r="F54" i="3"/>
  <c r="E54" i="3"/>
  <c r="F53" i="3"/>
  <c r="E53" i="3"/>
  <c r="G53" i="3" s="1"/>
  <c r="F52" i="3"/>
  <c r="E52" i="3"/>
  <c r="F51" i="3"/>
  <c r="E51" i="3"/>
  <c r="G51" i="3" s="1"/>
  <c r="F50" i="3"/>
  <c r="E50" i="3"/>
  <c r="G50" i="3" s="1"/>
  <c r="F49" i="3"/>
  <c r="E49" i="3"/>
  <c r="G49" i="3" s="1"/>
  <c r="F48" i="3"/>
  <c r="E48" i="3"/>
  <c r="F47" i="3"/>
  <c r="E47" i="3"/>
  <c r="G47" i="3" s="1"/>
  <c r="F46" i="3"/>
  <c r="E46" i="3"/>
  <c r="G46" i="3" s="1"/>
  <c r="F45" i="3"/>
  <c r="E45" i="3"/>
  <c r="G45" i="3" s="1"/>
  <c r="F44" i="3"/>
  <c r="E44" i="3"/>
  <c r="G44" i="3" s="1"/>
  <c r="F43" i="3"/>
  <c r="E43" i="3"/>
  <c r="F42" i="3"/>
  <c r="E42" i="3"/>
  <c r="F41" i="3"/>
  <c r="E41" i="3"/>
  <c r="G41" i="3" s="1"/>
  <c r="F40" i="3"/>
  <c r="E40" i="3"/>
  <c r="F39" i="3"/>
  <c r="E39" i="3"/>
  <c r="G39" i="3" s="1"/>
  <c r="F38" i="3"/>
  <c r="E38" i="3"/>
  <c r="G38" i="3" s="1"/>
  <c r="F37" i="3"/>
  <c r="E37" i="3"/>
  <c r="G37" i="3" s="1"/>
  <c r="F36" i="3"/>
  <c r="E36" i="3"/>
  <c r="G36" i="3" s="1"/>
  <c r="F35" i="3"/>
  <c r="E35" i="3"/>
  <c r="G35" i="3" s="1"/>
  <c r="F34" i="3"/>
  <c r="E34" i="3"/>
  <c r="G34" i="3" s="1"/>
  <c r="F33" i="3"/>
  <c r="E33" i="3"/>
  <c r="G33" i="3" s="1"/>
  <c r="F32" i="3"/>
  <c r="E32" i="3"/>
  <c r="G32" i="3" s="1"/>
  <c r="F31" i="3"/>
  <c r="E31" i="3"/>
  <c r="F30" i="3"/>
  <c r="E30" i="3"/>
  <c r="F29" i="3"/>
  <c r="E29" i="3"/>
  <c r="G29" i="3" s="1"/>
  <c r="F28" i="3"/>
  <c r="E28" i="3"/>
  <c r="F27" i="3"/>
  <c r="E27" i="3"/>
  <c r="G27" i="3" s="1"/>
  <c r="F26" i="3"/>
  <c r="E26" i="3"/>
  <c r="G26" i="3" s="1"/>
  <c r="F25" i="3"/>
  <c r="E25" i="3"/>
  <c r="G25" i="3" s="1"/>
  <c r="F24" i="3"/>
  <c r="E24" i="3"/>
  <c r="G24" i="3" s="1"/>
  <c r="F23" i="3"/>
  <c r="E23" i="3"/>
  <c r="G23" i="3" s="1"/>
  <c r="F22" i="3"/>
  <c r="E22" i="3"/>
  <c r="G22" i="3" s="1"/>
  <c r="F21" i="3"/>
  <c r="E21" i="3"/>
  <c r="G21" i="3" s="1"/>
  <c r="F20" i="3"/>
  <c r="E20" i="3"/>
  <c r="G20" i="3" s="1"/>
  <c r="F19" i="3"/>
  <c r="E19" i="3"/>
  <c r="F18" i="3"/>
  <c r="E18" i="3"/>
  <c r="F17" i="3"/>
  <c r="E17" i="3"/>
  <c r="G17" i="3" s="1"/>
  <c r="F16" i="3"/>
  <c r="E16" i="3"/>
  <c r="F15" i="3"/>
  <c r="E15" i="3"/>
  <c r="G15" i="3" s="1"/>
  <c r="G11" i="3"/>
  <c r="H11" i="3" s="1"/>
  <c r="G10" i="3"/>
  <c r="H10" i="3" s="1"/>
  <c r="G9" i="3"/>
  <c r="H9" i="3" s="1"/>
  <c r="G8" i="3"/>
  <c r="H8" i="3" s="1"/>
  <c r="C16" i="2"/>
  <c r="E16" i="2" s="1"/>
  <c r="F16" i="2" s="1"/>
  <c r="D16" i="2"/>
  <c r="C17" i="2"/>
  <c r="E17" i="2" s="1"/>
  <c r="F17" i="2" s="1"/>
  <c r="D17" i="2"/>
  <c r="C18" i="2"/>
  <c r="E18" i="2" s="1"/>
  <c r="F18" i="2" s="1"/>
  <c r="D18" i="2"/>
  <c r="C19" i="2"/>
  <c r="E19" i="2" s="1"/>
  <c r="F19" i="2" s="1"/>
  <c r="D19" i="2"/>
  <c r="C20" i="2"/>
  <c r="E20" i="2" s="1"/>
  <c r="F20" i="2" s="1"/>
  <c r="D20" i="2"/>
  <c r="C21" i="2"/>
  <c r="E21" i="2" s="1"/>
  <c r="F21" i="2" s="1"/>
  <c r="D21" i="2"/>
  <c r="C22" i="2"/>
  <c r="D22" i="2"/>
  <c r="E22" i="2"/>
  <c r="F22" i="2" s="1"/>
  <c r="C23" i="2"/>
  <c r="E23" i="2" s="1"/>
  <c r="F23" i="2" s="1"/>
  <c r="D23" i="2"/>
  <c r="C24" i="2"/>
  <c r="D24" i="2"/>
  <c r="E24" i="2"/>
  <c r="F24" i="2" s="1"/>
  <c r="C25" i="2"/>
  <c r="E25" i="2" s="1"/>
  <c r="F25" i="2" s="1"/>
  <c r="D25" i="2"/>
  <c r="C26" i="2"/>
  <c r="E26" i="2" s="1"/>
  <c r="F26" i="2" s="1"/>
  <c r="D26" i="2"/>
  <c r="C27" i="2"/>
  <c r="E27" i="2" s="1"/>
  <c r="F27" i="2" s="1"/>
  <c r="D27" i="2"/>
  <c r="C28" i="2"/>
  <c r="D28" i="2"/>
  <c r="E28" i="2"/>
  <c r="F28" i="2" s="1"/>
  <c r="C29" i="2"/>
  <c r="E29" i="2" s="1"/>
  <c r="F29" i="2" s="1"/>
  <c r="D29" i="2"/>
  <c r="C30" i="2"/>
  <c r="E30" i="2" s="1"/>
  <c r="F30" i="2" s="1"/>
  <c r="D30" i="2"/>
  <c r="C31" i="2"/>
  <c r="E31" i="2" s="1"/>
  <c r="F31" i="2" s="1"/>
  <c r="D31" i="2"/>
  <c r="C32" i="2"/>
  <c r="E32" i="2" s="1"/>
  <c r="F32" i="2" s="1"/>
  <c r="D32" i="2"/>
  <c r="C33" i="2"/>
  <c r="E33" i="2" s="1"/>
  <c r="F33" i="2" s="1"/>
  <c r="D33" i="2"/>
  <c r="C34" i="2"/>
  <c r="D34" i="2"/>
  <c r="E34" i="2"/>
  <c r="F34" i="2" s="1"/>
  <c r="C35" i="2"/>
  <c r="E35" i="2" s="1"/>
  <c r="F35" i="2" s="1"/>
  <c r="D35" i="2"/>
  <c r="C36" i="2"/>
  <c r="D36" i="2"/>
  <c r="E36" i="2"/>
  <c r="F36" i="2"/>
  <c r="C37" i="2"/>
  <c r="E37" i="2" s="1"/>
  <c r="F37" i="2" s="1"/>
  <c r="D37" i="2"/>
  <c r="C38" i="2"/>
  <c r="E38" i="2" s="1"/>
  <c r="F38" i="2" s="1"/>
  <c r="D38" i="2"/>
  <c r="C39" i="2"/>
  <c r="E39" i="2" s="1"/>
  <c r="F39" i="2" s="1"/>
  <c r="D39" i="2"/>
  <c r="C40" i="2"/>
  <c r="D40" i="2"/>
  <c r="E40" i="2"/>
  <c r="F40" i="2" s="1"/>
  <c r="C41" i="2"/>
  <c r="E41" i="2" s="1"/>
  <c r="F41" i="2" s="1"/>
  <c r="D41" i="2"/>
  <c r="C42" i="2"/>
  <c r="E42" i="2" s="1"/>
  <c r="F42" i="2" s="1"/>
  <c r="D42" i="2"/>
  <c r="C43" i="2"/>
  <c r="E43" i="2" s="1"/>
  <c r="F43" i="2" s="1"/>
  <c r="D43" i="2"/>
  <c r="C44" i="2"/>
  <c r="E44" i="2" s="1"/>
  <c r="F44" i="2" s="1"/>
  <c r="D44" i="2"/>
  <c r="C45" i="2"/>
  <c r="E45" i="2" s="1"/>
  <c r="F45" i="2" s="1"/>
  <c r="D45" i="2"/>
  <c r="C46" i="2"/>
  <c r="D46" i="2"/>
  <c r="E46" i="2"/>
  <c r="F46" i="2" s="1"/>
  <c r="C47" i="2"/>
  <c r="E47" i="2" s="1"/>
  <c r="F47" i="2" s="1"/>
  <c r="D47" i="2"/>
  <c r="C48" i="2"/>
  <c r="D48" i="2"/>
  <c r="E48" i="2"/>
  <c r="F48" i="2"/>
  <c r="C49" i="2"/>
  <c r="E49" i="2" s="1"/>
  <c r="F49" i="2" s="1"/>
  <c r="D49" i="2"/>
  <c r="C50" i="2"/>
  <c r="E50" i="2" s="1"/>
  <c r="F50" i="2" s="1"/>
  <c r="D50" i="2"/>
  <c r="C51" i="2"/>
  <c r="E51" i="2" s="1"/>
  <c r="F51" i="2" s="1"/>
  <c r="D51" i="2"/>
  <c r="C52" i="2"/>
  <c r="D52" i="2"/>
  <c r="E52" i="2"/>
  <c r="F52" i="2" s="1"/>
  <c r="C53" i="2"/>
  <c r="E53" i="2" s="1"/>
  <c r="F53" i="2" s="1"/>
  <c r="D53" i="2"/>
  <c r="C54" i="2"/>
  <c r="E54" i="2" s="1"/>
  <c r="F54" i="2" s="1"/>
  <c r="D54" i="2"/>
  <c r="C55" i="2"/>
  <c r="E55" i="2" s="1"/>
  <c r="F55" i="2" s="1"/>
  <c r="D55" i="2"/>
  <c r="C56" i="2"/>
  <c r="E56" i="2" s="1"/>
  <c r="F56" i="2" s="1"/>
  <c r="D56" i="2"/>
  <c r="C57" i="2"/>
  <c r="E57" i="2" s="1"/>
  <c r="F57" i="2" s="1"/>
  <c r="D57" i="2"/>
  <c r="C58" i="2"/>
  <c r="D58" i="2"/>
  <c r="E58" i="2"/>
  <c r="F58" i="2" s="1"/>
  <c r="C59" i="2"/>
  <c r="E59" i="2" s="1"/>
  <c r="F59" i="2" s="1"/>
  <c r="D59" i="2"/>
  <c r="C60" i="2"/>
  <c r="D60" i="2"/>
  <c r="E60" i="2"/>
  <c r="F60" i="2" s="1"/>
  <c r="C61" i="2"/>
  <c r="E61" i="2" s="1"/>
  <c r="F61" i="2" s="1"/>
  <c r="D61" i="2"/>
  <c r="C62" i="2"/>
  <c r="E62" i="2" s="1"/>
  <c r="F62" i="2" s="1"/>
  <c r="D62" i="2"/>
  <c r="C63" i="2"/>
  <c r="E63" i="2" s="1"/>
  <c r="F63" i="2" s="1"/>
  <c r="D63" i="2"/>
  <c r="C64" i="2"/>
  <c r="D64" i="2"/>
  <c r="E64" i="2"/>
  <c r="F64" i="2" s="1"/>
  <c r="C65" i="2"/>
  <c r="E65" i="2" s="1"/>
  <c r="F65" i="2" s="1"/>
  <c r="D65" i="2"/>
  <c r="C66" i="2"/>
  <c r="E66" i="2" s="1"/>
  <c r="F66" i="2" s="1"/>
  <c r="D66" i="2"/>
  <c r="C67" i="2"/>
  <c r="E67" i="2" s="1"/>
  <c r="F67" i="2" s="1"/>
  <c r="D67" i="2"/>
  <c r="C68" i="2"/>
  <c r="E68" i="2" s="1"/>
  <c r="F68" i="2" s="1"/>
  <c r="D68" i="2"/>
  <c r="C69" i="2"/>
  <c r="E69" i="2" s="1"/>
  <c r="F69" i="2" s="1"/>
  <c r="D69" i="2"/>
  <c r="C70" i="2"/>
  <c r="D70" i="2"/>
  <c r="E70" i="2"/>
  <c r="F70" i="2" s="1"/>
  <c r="C71" i="2"/>
  <c r="E71" i="2" s="1"/>
  <c r="F71" i="2" s="1"/>
  <c r="D71" i="2"/>
  <c r="C72" i="2"/>
  <c r="D72" i="2"/>
  <c r="E72" i="2"/>
  <c r="F72" i="2"/>
  <c r="C73" i="2"/>
  <c r="E73" i="2" s="1"/>
  <c r="F73" i="2" s="1"/>
  <c r="D73" i="2"/>
  <c r="C74" i="2"/>
  <c r="E74" i="2" s="1"/>
  <c r="F74" i="2" s="1"/>
  <c r="D74" i="2"/>
  <c r="C75" i="2"/>
  <c r="E75" i="2" s="1"/>
  <c r="F75" i="2" s="1"/>
  <c r="D75" i="2"/>
  <c r="C76" i="2"/>
  <c r="D76" i="2"/>
  <c r="E76" i="2"/>
  <c r="F76" i="2" s="1"/>
  <c r="C77" i="2"/>
  <c r="E77" i="2" s="1"/>
  <c r="F77" i="2" s="1"/>
  <c r="D77" i="2"/>
  <c r="C78" i="2"/>
  <c r="E78" i="2" s="1"/>
  <c r="F78" i="2" s="1"/>
  <c r="D78" i="2"/>
  <c r="C79" i="2"/>
  <c r="E79" i="2" s="1"/>
  <c r="F79" i="2" s="1"/>
  <c r="D79" i="2"/>
  <c r="C80" i="2"/>
  <c r="E80" i="2" s="1"/>
  <c r="F80" i="2" s="1"/>
  <c r="D80" i="2"/>
  <c r="C81" i="2"/>
  <c r="E81" i="2" s="1"/>
  <c r="F81" i="2" s="1"/>
  <c r="D81" i="2"/>
  <c r="C82" i="2"/>
  <c r="D82" i="2"/>
  <c r="E82" i="2"/>
  <c r="F82" i="2" s="1"/>
  <c r="C83" i="2"/>
  <c r="E83" i="2" s="1"/>
  <c r="F83" i="2" s="1"/>
  <c r="D83" i="2"/>
  <c r="C84" i="2"/>
  <c r="D84" i="2"/>
  <c r="E84" i="2"/>
  <c r="F84" i="2"/>
  <c r="C85" i="2"/>
  <c r="E85" i="2" s="1"/>
  <c r="F85" i="2" s="1"/>
  <c r="D85" i="2"/>
  <c r="C86" i="2"/>
  <c r="E86" i="2" s="1"/>
  <c r="F86" i="2" s="1"/>
  <c r="D86" i="2"/>
  <c r="C87" i="2"/>
  <c r="E87" i="2" s="1"/>
  <c r="F87" i="2" s="1"/>
  <c r="D87" i="2"/>
  <c r="C88" i="2"/>
  <c r="D88" i="2"/>
  <c r="E88" i="2"/>
  <c r="F88" i="2" s="1"/>
  <c r="C89" i="2"/>
  <c r="E89" i="2" s="1"/>
  <c r="F89" i="2" s="1"/>
  <c r="D89" i="2"/>
  <c r="C90" i="2"/>
  <c r="E90" i="2" s="1"/>
  <c r="F90" i="2" s="1"/>
  <c r="D90" i="2"/>
  <c r="C91" i="2"/>
  <c r="E91" i="2" s="1"/>
  <c r="F91" i="2" s="1"/>
  <c r="D91" i="2"/>
  <c r="C92" i="2"/>
  <c r="E92" i="2" s="1"/>
  <c r="F92" i="2" s="1"/>
  <c r="D92" i="2"/>
  <c r="C93" i="2"/>
  <c r="E93" i="2" s="1"/>
  <c r="F93" i="2" s="1"/>
  <c r="D93" i="2"/>
  <c r="C94" i="2"/>
  <c r="D94" i="2"/>
  <c r="E94" i="2"/>
  <c r="F94" i="2" s="1"/>
  <c r="C95" i="2"/>
  <c r="E95" i="2" s="1"/>
  <c r="F95" i="2" s="1"/>
  <c r="D95" i="2"/>
  <c r="C96" i="2"/>
  <c r="D96" i="2"/>
  <c r="E96" i="2"/>
  <c r="F96" i="2"/>
  <c r="C97" i="2"/>
  <c r="E97" i="2" s="1"/>
  <c r="F97" i="2" s="1"/>
  <c r="D97" i="2"/>
  <c r="C98" i="2"/>
  <c r="E98" i="2" s="1"/>
  <c r="F98" i="2" s="1"/>
  <c r="D98" i="2"/>
  <c r="C99" i="2"/>
  <c r="E99" i="2" s="1"/>
  <c r="F99" i="2" s="1"/>
  <c r="D99" i="2"/>
  <c r="C100" i="2"/>
  <c r="D100" i="2"/>
  <c r="E100" i="2"/>
  <c r="F100" i="2" s="1"/>
  <c r="C101" i="2"/>
  <c r="E101" i="2" s="1"/>
  <c r="F101" i="2" s="1"/>
  <c r="D101" i="2"/>
  <c r="C102" i="2"/>
  <c r="E102" i="2" s="1"/>
  <c r="F102" i="2" s="1"/>
  <c r="D102" i="2"/>
  <c r="C103" i="2"/>
  <c r="E103" i="2" s="1"/>
  <c r="F103" i="2" s="1"/>
  <c r="D103" i="2"/>
  <c r="C104" i="2"/>
  <c r="E104" i="2" s="1"/>
  <c r="F104" i="2" s="1"/>
  <c r="D104" i="2"/>
  <c r="C105" i="2"/>
  <c r="E105" i="2" s="1"/>
  <c r="F105" i="2" s="1"/>
  <c r="D105" i="2"/>
  <c r="C106" i="2"/>
  <c r="D106" i="2"/>
  <c r="E106" i="2"/>
  <c r="F106" i="2" s="1"/>
  <c r="C107" i="2"/>
  <c r="E107" i="2" s="1"/>
  <c r="F107" i="2" s="1"/>
  <c r="D107" i="2"/>
  <c r="C108" i="2"/>
  <c r="D108" i="2"/>
  <c r="E108" i="2"/>
  <c r="F108" i="2"/>
  <c r="C109" i="2"/>
  <c r="E109" i="2" s="1"/>
  <c r="F109" i="2" s="1"/>
  <c r="D109" i="2"/>
  <c r="C110" i="2"/>
  <c r="E110" i="2" s="1"/>
  <c r="F110" i="2" s="1"/>
  <c r="D110" i="2"/>
  <c r="C111" i="2"/>
  <c r="E111" i="2" s="1"/>
  <c r="F111" i="2" s="1"/>
  <c r="D111" i="2"/>
  <c r="C112" i="2"/>
  <c r="D112" i="2"/>
  <c r="E112" i="2"/>
  <c r="F112" i="2" s="1"/>
  <c r="C113" i="2"/>
  <c r="E113" i="2" s="1"/>
  <c r="F113" i="2" s="1"/>
  <c r="D113" i="2"/>
  <c r="C114" i="2"/>
  <c r="E114" i="2" s="1"/>
  <c r="F114" i="2" s="1"/>
  <c r="D114" i="2"/>
  <c r="C115" i="2"/>
  <c r="E115" i="2" s="1"/>
  <c r="F115" i="2" s="1"/>
  <c r="D115" i="2"/>
  <c r="C116" i="2"/>
  <c r="E116" i="2" s="1"/>
  <c r="F116" i="2" s="1"/>
  <c r="D116" i="2"/>
  <c r="C117" i="2"/>
  <c r="E117" i="2" s="1"/>
  <c r="F117" i="2" s="1"/>
  <c r="D117" i="2"/>
  <c r="C118" i="2"/>
  <c r="D118" i="2"/>
  <c r="E118" i="2"/>
  <c r="F118" i="2" s="1"/>
  <c r="C119" i="2"/>
  <c r="E119" i="2" s="1"/>
  <c r="F119" i="2" s="1"/>
  <c r="D119" i="2"/>
  <c r="C120" i="2"/>
  <c r="D120" i="2"/>
  <c r="E120" i="2"/>
  <c r="F120" i="2"/>
  <c r="C121" i="2"/>
  <c r="E121" i="2" s="1"/>
  <c r="F121" i="2" s="1"/>
  <c r="D121" i="2"/>
  <c r="C122" i="2"/>
  <c r="E122" i="2" s="1"/>
  <c r="F122" i="2" s="1"/>
  <c r="D122" i="2"/>
  <c r="C123" i="2"/>
  <c r="E123" i="2" s="1"/>
  <c r="F123" i="2" s="1"/>
  <c r="D123" i="2"/>
  <c r="C124" i="2"/>
  <c r="D124" i="2"/>
  <c r="E124" i="2"/>
  <c r="F124" i="2" s="1"/>
  <c r="C125" i="2"/>
  <c r="E125" i="2" s="1"/>
  <c r="F125" i="2" s="1"/>
  <c r="D125" i="2"/>
  <c r="C126" i="2"/>
  <c r="D126" i="2"/>
  <c r="E126" i="2"/>
  <c r="F126" i="2"/>
  <c r="C127" i="2"/>
  <c r="E127" i="2" s="1"/>
  <c r="F127" i="2" s="1"/>
  <c r="D127" i="2"/>
  <c r="C128" i="2"/>
  <c r="E128" i="2" s="1"/>
  <c r="F128" i="2" s="1"/>
  <c r="D128" i="2"/>
  <c r="C129" i="2"/>
  <c r="E129" i="2" s="1"/>
  <c r="F129" i="2" s="1"/>
  <c r="D129" i="2"/>
  <c r="C130" i="2"/>
  <c r="D130" i="2"/>
  <c r="E130" i="2"/>
  <c r="F130" i="2" s="1"/>
  <c r="C131" i="2"/>
  <c r="E131" i="2" s="1"/>
  <c r="F131" i="2" s="1"/>
  <c r="D131" i="2"/>
  <c r="C132" i="2"/>
  <c r="D132" i="2"/>
  <c r="E132" i="2"/>
  <c r="F132" i="2"/>
  <c r="C133" i="2"/>
  <c r="E133" i="2" s="1"/>
  <c r="F133" i="2" s="1"/>
  <c r="D133" i="2"/>
  <c r="C134" i="2"/>
  <c r="E134" i="2" s="1"/>
  <c r="F134" i="2" s="1"/>
  <c r="D134" i="2"/>
  <c r="C135" i="2"/>
  <c r="E135" i="2" s="1"/>
  <c r="F135" i="2" s="1"/>
  <c r="D135" i="2"/>
  <c r="C136" i="2"/>
  <c r="D136" i="2"/>
  <c r="E136" i="2"/>
  <c r="F136" i="2" s="1"/>
  <c r="C137" i="2"/>
  <c r="E137" i="2" s="1"/>
  <c r="F137" i="2" s="1"/>
  <c r="D137" i="2"/>
  <c r="C138" i="2"/>
  <c r="D138" i="2"/>
  <c r="E138" i="2"/>
  <c r="F138" i="2"/>
  <c r="C139" i="2"/>
  <c r="E139" i="2" s="1"/>
  <c r="F139" i="2" s="1"/>
  <c r="D139" i="2"/>
  <c r="C140" i="2"/>
  <c r="E140" i="2" s="1"/>
  <c r="F140" i="2" s="1"/>
  <c r="D140" i="2"/>
  <c r="C141" i="2"/>
  <c r="E141" i="2" s="1"/>
  <c r="F141" i="2" s="1"/>
  <c r="D141" i="2"/>
  <c r="C142" i="2"/>
  <c r="D142" i="2"/>
  <c r="E142" i="2"/>
  <c r="F142" i="2" s="1"/>
  <c r="C143" i="2"/>
  <c r="E143" i="2" s="1"/>
  <c r="F143" i="2" s="1"/>
  <c r="D143" i="2"/>
  <c r="C144" i="2"/>
  <c r="D144" i="2"/>
  <c r="E144" i="2"/>
  <c r="F144" i="2"/>
  <c r="C145" i="2"/>
  <c r="E145" i="2" s="1"/>
  <c r="F145" i="2" s="1"/>
  <c r="D145" i="2"/>
  <c r="C146" i="2"/>
  <c r="E146" i="2" s="1"/>
  <c r="F146" i="2" s="1"/>
  <c r="D146" i="2"/>
  <c r="C147" i="2"/>
  <c r="E147" i="2" s="1"/>
  <c r="F147" i="2" s="1"/>
  <c r="D147" i="2"/>
  <c r="C148" i="2"/>
  <c r="D148" i="2"/>
  <c r="E148" i="2"/>
  <c r="F148" i="2" s="1"/>
  <c r="C149" i="2"/>
  <c r="E149" i="2" s="1"/>
  <c r="F149" i="2" s="1"/>
  <c r="D149" i="2"/>
  <c r="C150" i="2"/>
  <c r="D150" i="2"/>
  <c r="E150" i="2"/>
  <c r="F150" i="2"/>
  <c r="C151" i="2"/>
  <c r="E151" i="2" s="1"/>
  <c r="F151" i="2" s="1"/>
  <c r="D151" i="2"/>
  <c r="C152" i="2"/>
  <c r="E152" i="2" s="1"/>
  <c r="F152" i="2" s="1"/>
  <c r="D152" i="2"/>
  <c r="C153" i="2"/>
  <c r="E153" i="2" s="1"/>
  <c r="F153" i="2" s="1"/>
  <c r="D153" i="2"/>
  <c r="C154" i="2"/>
  <c r="D154" i="2"/>
  <c r="E154" i="2"/>
  <c r="F154" i="2" s="1"/>
  <c r="C155" i="2"/>
  <c r="E155" i="2" s="1"/>
  <c r="F155" i="2" s="1"/>
  <c r="D155" i="2"/>
  <c r="C156" i="2"/>
  <c r="D156" i="2"/>
  <c r="E156" i="2"/>
  <c r="F156" i="2"/>
  <c r="C157" i="2"/>
  <c r="E157" i="2" s="1"/>
  <c r="F157" i="2" s="1"/>
  <c r="D157" i="2"/>
  <c r="C158" i="2"/>
  <c r="E158" i="2" s="1"/>
  <c r="F158" i="2" s="1"/>
  <c r="D158" i="2"/>
  <c r="C159" i="2"/>
  <c r="E159" i="2" s="1"/>
  <c r="F159" i="2" s="1"/>
  <c r="D159" i="2"/>
  <c r="C160" i="2"/>
  <c r="D160" i="2"/>
  <c r="E160" i="2"/>
  <c r="F160" i="2" s="1"/>
  <c r="C161" i="2"/>
  <c r="E161" i="2" s="1"/>
  <c r="F161" i="2" s="1"/>
  <c r="D161" i="2"/>
  <c r="C162" i="2"/>
  <c r="D162" i="2"/>
  <c r="E162" i="2"/>
  <c r="F162" i="2"/>
  <c r="C163" i="2"/>
  <c r="E163" i="2" s="1"/>
  <c r="F163" i="2" s="1"/>
  <c r="D163" i="2"/>
  <c r="C164" i="2"/>
  <c r="E164" i="2" s="1"/>
  <c r="F164" i="2" s="1"/>
  <c r="D164" i="2"/>
  <c r="C165" i="2"/>
  <c r="E165" i="2" s="1"/>
  <c r="F165" i="2" s="1"/>
  <c r="D165" i="2"/>
  <c r="C166" i="2"/>
  <c r="D166" i="2"/>
  <c r="E166" i="2"/>
  <c r="F166" i="2" s="1"/>
  <c r="C167" i="2"/>
  <c r="E167" i="2" s="1"/>
  <c r="F167" i="2" s="1"/>
  <c r="D167" i="2"/>
  <c r="C168" i="2"/>
  <c r="D168" i="2"/>
  <c r="E168" i="2"/>
  <c r="F168" i="2"/>
  <c r="C169" i="2"/>
  <c r="E169" i="2" s="1"/>
  <c r="F169" i="2" s="1"/>
  <c r="D169" i="2"/>
  <c r="C170" i="2"/>
  <c r="E170" i="2" s="1"/>
  <c r="F170" i="2" s="1"/>
  <c r="D170" i="2"/>
  <c r="C171" i="2"/>
  <c r="E171" i="2" s="1"/>
  <c r="F171" i="2" s="1"/>
  <c r="D171" i="2"/>
  <c r="C172" i="2"/>
  <c r="D172" i="2"/>
  <c r="E172" i="2"/>
  <c r="F172" i="2" s="1"/>
  <c r="C173" i="2"/>
  <c r="E173" i="2" s="1"/>
  <c r="F173" i="2" s="1"/>
  <c r="D173" i="2"/>
  <c r="C174" i="2"/>
  <c r="D174" i="2"/>
  <c r="E174" i="2"/>
  <c r="F174" i="2"/>
  <c r="C175" i="2"/>
  <c r="E175" i="2" s="1"/>
  <c r="F175" i="2" s="1"/>
  <c r="D175" i="2"/>
  <c r="C176" i="2"/>
  <c r="E176" i="2" s="1"/>
  <c r="F176" i="2" s="1"/>
  <c r="D176" i="2"/>
  <c r="C177" i="2"/>
  <c r="E177" i="2" s="1"/>
  <c r="F177" i="2" s="1"/>
  <c r="D177" i="2"/>
  <c r="C178" i="2"/>
  <c r="D178" i="2"/>
  <c r="E178" i="2"/>
  <c r="F178" i="2" s="1"/>
  <c r="C179" i="2"/>
  <c r="E179" i="2" s="1"/>
  <c r="F179" i="2" s="1"/>
  <c r="D179" i="2"/>
  <c r="C180" i="2"/>
  <c r="D180" i="2"/>
  <c r="E180" i="2"/>
  <c r="F180" i="2"/>
  <c r="C181" i="2"/>
  <c r="E181" i="2" s="1"/>
  <c r="F181" i="2" s="1"/>
  <c r="D181" i="2"/>
  <c r="C182" i="2"/>
  <c r="E182" i="2" s="1"/>
  <c r="F182" i="2" s="1"/>
  <c r="D182" i="2"/>
  <c r="C183" i="2"/>
  <c r="E183" i="2" s="1"/>
  <c r="F183" i="2" s="1"/>
  <c r="D183" i="2"/>
  <c r="C184" i="2"/>
  <c r="D184" i="2"/>
  <c r="E184" i="2"/>
  <c r="F184" i="2" s="1"/>
  <c r="C185" i="2"/>
  <c r="E185" i="2" s="1"/>
  <c r="F185" i="2" s="1"/>
  <c r="D185" i="2"/>
  <c r="C186" i="2"/>
  <c r="D186" i="2"/>
  <c r="E186" i="2"/>
  <c r="F186" i="2"/>
  <c r="C187" i="2"/>
  <c r="E187" i="2" s="1"/>
  <c r="F187" i="2" s="1"/>
  <c r="D187" i="2"/>
  <c r="C188" i="2"/>
  <c r="E188" i="2" s="1"/>
  <c r="F188" i="2" s="1"/>
  <c r="D188" i="2"/>
  <c r="C189" i="2"/>
  <c r="D189" i="2"/>
  <c r="E189" i="2"/>
  <c r="F189" i="2" s="1"/>
  <c r="C190" i="2"/>
  <c r="D190" i="2"/>
  <c r="E190" i="2"/>
  <c r="F190" i="2" s="1"/>
  <c r="C191" i="2"/>
  <c r="E191" i="2" s="1"/>
  <c r="F191" i="2" s="1"/>
  <c r="D191" i="2"/>
  <c r="C192" i="2"/>
  <c r="D192" i="2"/>
  <c r="E192" i="2"/>
  <c r="F192" i="2"/>
  <c r="C193" i="2"/>
  <c r="E193" i="2" s="1"/>
  <c r="F193" i="2" s="1"/>
  <c r="D193" i="2"/>
  <c r="C194" i="2"/>
  <c r="E194" i="2" s="1"/>
  <c r="F194" i="2" s="1"/>
  <c r="D194" i="2"/>
  <c r="C195" i="2"/>
  <c r="E195" i="2" s="1"/>
  <c r="F195" i="2" s="1"/>
  <c r="D195" i="2"/>
  <c r="C196" i="2"/>
  <c r="D196" i="2"/>
  <c r="E196" i="2"/>
  <c r="F196" i="2" s="1"/>
  <c r="C197" i="2"/>
  <c r="E197" i="2" s="1"/>
  <c r="F197" i="2" s="1"/>
  <c r="D197" i="2"/>
  <c r="C198" i="2"/>
  <c r="D198" i="2"/>
  <c r="E198" i="2"/>
  <c r="F198" i="2"/>
  <c r="C199" i="2"/>
  <c r="E199" i="2" s="1"/>
  <c r="F199" i="2" s="1"/>
  <c r="D199" i="2"/>
  <c r="C200" i="2"/>
  <c r="E200" i="2" s="1"/>
  <c r="F200" i="2" s="1"/>
  <c r="D200" i="2"/>
  <c r="C201" i="2"/>
  <c r="D201" i="2"/>
  <c r="E201" i="2"/>
  <c r="F201" i="2" s="1"/>
  <c r="C202" i="2"/>
  <c r="D202" i="2"/>
  <c r="E202" i="2"/>
  <c r="F202" i="2" s="1"/>
  <c r="C203" i="2"/>
  <c r="E203" i="2" s="1"/>
  <c r="F203" i="2" s="1"/>
  <c r="D203" i="2"/>
  <c r="C204" i="2"/>
  <c r="D204" i="2"/>
  <c r="E204" i="2"/>
  <c r="F204" i="2"/>
  <c r="C205" i="2"/>
  <c r="E205" i="2" s="1"/>
  <c r="F205" i="2" s="1"/>
  <c r="D205" i="2"/>
  <c r="C206" i="2"/>
  <c r="E206" i="2" s="1"/>
  <c r="F206" i="2" s="1"/>
  <c r="D206" i="2"/>
  <c r="C207" i="2"/>
  <c r="E207" i="2" s="1"/>
  <c r="F207" i="2" s="1"/>
  <c r="D207" i="2"/>
  <c r="C208" i="2"/>
  <c r="D208" i="2"/>
  <c r="E208" i="2"/>
  <c r="F208" i="2" s="1"/>
  <c r="C209" i="2"/>
  <c r="E209" i="2" s="1"/>
  <c r="F209" i="2" s="1"/>
  <c r="D209" i="2"/>
  <c r="C210" i="2"/>
  <c r="D210" i="2"/>
  <c r="E210" i="2"/>
  <c r="F210" i="2"/>
  <c r="C211" i="2"/>
  <c r="E211" i="2" s="1"/>
  <c r="F211" i="2" s="1"/>
  <c r="D211" i="2"/>
  <c r="C212" i="2"/>
  <c r="E212" i="2" s="1"/>
  <c r="F212" i="2" s="1"/>
  <c r="D212" i="2"/>
  <c r="C213" i="2"/>
  <c r="D213" i="2"/>
  <c r="E213" i="2"/>
  <c r="F213" i="2" s="1"/>
  <c r="C214" i="2"/>
  <c r="D214" i="2"/>
  <c r="E214" i="2"/>
  <c r="F214" i="2" s="1"/>
  <c r="C215" i="2"/>
  <c r="E215" i="2" s="1"/>
  <c r="F215" i="2" s="1"/>
  <c r="D215" i="2"/>
  <c r="C216" i="2"/>
  <c r="D216" i="2"/>
  <c r="E216" i="2"/>
  <c r="F216" i="2"/>
  <c r="C217" i="2"/>
  <c r="E217" i="2" s="1"/>
  <c r="F217" i="2" s="1"/>
  <c r="D217" i="2"/>
  <c r="C218" i="2"/>
  <c r="E218" i="2" s="1"/>
  <c r="F218" i="2" s="1"/>
  <c r="D218" i="2"/>
  <c r="C219" i="2"/>
  <c r="E219" i="2" s="1"/>
  <c r="F219" i="2" s="1"/>
  <c r="D219" i="2"/>
  <c r="C220" i="2"/>
  <c r="D220" i="2"/>
  <c r="E220" i="2"/>
  <c r="F220" i="2" s="1"/>
  <c r="C221" i="2"/>
  <c r="E221" i="2" s="1"/>
  <c r="F221" i="2" s="1"/>
  <c r="D221" i="2"/>
  <c r="C222" i="2"/>
  <c r="D222" i="2"/>
  <c r="E222" i="2"/>
  <c r="F222" i="2"/>
  <c r="C223" i="2"/>
  <c r="E223" i="2" s="1"/>
  <c r="F223" i="2" s="1"/>
  <c r="D223" i="2"/>
  <c r="C224" i="2"/>
  <c r="E224" i="2" s="1"/>
  <c r="F224" i="2" s="1"/>
  <c r="D224" i="2"/>
  <c r="C225" i="2"/>
  <c r="D225" i="2"/>
  <c r="E225" i="2"/>
  <c r="F225" i="2" s="1"/>
  <c r="C226" i="2"/>
  <c r="D226" i="2"/>
  <c r="E226" i="2"/>
  <c r="F226" i="2" s="1"/>
  <c r="C227" i="2"/>
  <c r="E227" i="2" s="1"/>
  <c r="F227" i="2" s="1"/>
  <c r="D227" i="2"/>
  <c r="C228" i="2"/>
  <c r="D228" i="2"/>
  <c r="E228" i="2"/>
  <c r="F228" i="2"/>
  <c r="C229" i="2"/>
  <c r="E229" i="2" s="1"/>
  <c r="F229" i="2" s="1"/>
  <c r="D229" i="2"/>
  <c r="C230" i="2"/>
  <c r="E230" i="2" s="1"/>
  <c r="F230" i="2" s="1"/>
  <c r="D230" i="2"/>
  <c r="C231" i="2"/>
  <c r="E231" i="2" s="1"/>
  <c r="F231" i="2" s="1"/>
  <c r="D231" i="2"/>
  <c r="C232" i="2"/>
  <c r="D232" i="2"/>
  <c r="E232" i="2"/>
  <c r="F232" i="2" s="1"/>
  <c r="C233" i="2"/>
  <c r="E233" i="2" s="1"/>
  <c r="F233" i="2" s="1"/>
  <c r="D233" i="2"/>
  <c r="C234" i="2"/>
  <c r="D234" i="2"/>
  <c r="E234" i="2"/>
  <c r="F234" i="2"/>
  <c r="C235" i="2"/>
  <c r="E235" i="2" s="1"/>
  <c r="F235" i="2" s="1"/>
  <c r="D235" i="2"/>
  <c r="C236" i="2"/>
  <c r="E236" i="2" s="1"/>
  <c r="F236" i="2" s="1"/>
  <c r="D236" i="2"/>
  <c r="C237" i="2"/>
  <c r="D237" i="2"/>
  <c r="E237" i="2"/>
  <c r="F237" i="2" s="1"/>
  <c r="C238" i="2"/>
  <c r="D238" i="2"/>
  <c r="E238" i="2"/>
  <c r="F238" i="2" s="1"/>
  <c r="C239" i="2"/>
  <c r="E239" i="2" s="1"/>
  <c r="F239" i="2" s="1"/>
  <c r="D239" i="2"/>
  <c r="C240" i="2"/>
  <c r="D240" i="2"/>
  <c r="E240" i="2"/>
  <c r="F240" i="2"/>
  <c r="C241" i="2"/>
  <c r="E241" i="2" s="1"/>
  <c r="F241" i="2" s="1"/>
  <c r="D241" i="2"/>
  <c r="C242" i="2"/>
  <c r="E242" i="2" s="1"/>
  <c r="F242" i="2" s="1"/>
  <c r="D242" i="2"/>
  <c r="C243" i="2"/>
  <c r="E243" i="2" s="1"/>
  <c r="F243" i="2" s="1"/>
  <c r="D243" i="2"/>
  <c r="C244" i="2"/>
  <c r="D244" i="2"/>
  <c r="E244" i="2"/>
  <c r="F244" i="2" s="1"/>
  <c r="C245" i="2"/>
  <c r="E245" i="2" s="1"/>
  <c r="F245" i="2" s="1"/>
  <c r="D245" i="2"/>
  <c r="C246" i="2"/>
  <c r="D246" i="2"/>
  <c r="E246" i="2"/>
  <c r="F246" i="2"/>
  <c r="C247" i="2"/>
  <c r="E247" i="2" s="1"/>
  <c r="F247" i="2" s="1"/>
  <c r="D247" i="2"/>
  <c r="C248" i="2"/>
  <c r="E248" i="2" s="1"/>
  <c r="F248" i="2" s="1"/>
  <c r="D248" i="2"/>
  <c r="C249" i="2"/>
  <c r="D249" i="2"/>
  <c r="E249" i="2"/>
  <c r="F249" i="2" s="1"/>
  <c r="C250" i="2"/>
  <c r="D250" i="2"/>
  <c r="E250" i="2"/>
  <c r="F250" i="2" s="1"/>
  <c r="C251" i="2"/>
  <c r="E251" i="2" s="1"/>
  <c r="F251" i="2" s="1"/>
  <c r="D251" i="2"/>
  <c r="C252" i="2"/>
  <c r="D252" i="2"/>
  <c r="E252" i="2"/>
  <c r="F252" i="2"/>
  <c r="C253" i="2"/>
  <c r="E253" i="2" s="1"/>
  <c r="F253" i="2" s="1"/>
  <c r="D253" i="2"/>
  <c r="C254" i="2"/>
  <c r="E254" i="2" s="1"/>
  <c r="F254" i="2" s="1"/>
  <c r="D254" i="2"/>
  <c r="C255" i="2"/>
  <c r="E255" i="2" s="1"/>
  <c r="F255" i="2" s="1"/>
  <c r="D255" i="2"/>
  <c r="C256" i="2"/>
  <c r="D256" i="2"/>
  <c r="E256" i="2"/>
  <c r="F256" i="2" s="1"/>
  <c r="C257" i="2"/>
  <c r="E257" i="2" s="1"/>
  <c r="F257" i="2" s="1"/>
  <c r="D257" i="2"/>
  <c r="C258" i="2"/>
  <c r="D258" i="2"/>
  <c r="E258" i="2"/>
  <c r="F258" i="2"/>
  <c r="C259" i="2"/>
  <c r="E259" i="2" s="1"/>
  <c r="F259" i="2" s="1"/>
  <c r="D259" i="2"/>
  <c r="C260" i="2"/>
  <c r="E260" i="2" s="1"/>
  <c r="F260" i="2" s="1"/>
  <c r="D260" i="2"/>
  <c r="C261" i="2"/>
  <c r="D261" i="2"/>
  <c r="E261" i="2"/>
  <c r="F261" i="2" s="1"/>
  <c r="C262" i="2"/>
  <c r="D262" i="2"/>
  <c r="E262" i="2"/>
  <c r="F262" i="2" s="1"/>
  <c r="C263" i="2"/>
  <c r="E263" i="2" s="1"/>
  <c r="F263" i="2" s="1"/>
  <c r="D263" i="2"/>
  <c r="C264" i="2"/>
  <c r="D264" i="2"/>
  <c r="E264" i="2"/>
  <c r="F264" i="2"/>
  <c r="E11" i="2"/>
  <c r="F11" i="2" s="1"/>
  <c r="E10" i="2"/>
  <c r="F10" i="2" s="1"/>
  <c r="E9" i="2"/>
  <c r="F9" i="2" s="1"/>
  <c r="E8" i="2"/>
  <c r="F8" i="2" s="1"/>
  <c r="D15" i="2"/>
  <c r="C15" i="2"/>
  <c r="E15" i="2" s="1"/>
  <c r="I15" i="2" l="1"/>
  <c r="I15" i="4"/>
  <c r="A5" i="4"/>
  <c r="H25" i="3"/>
  <c r="H37" i="3"/>
  <c r="H49" i="3"/>
  <c r="H61" i="3"/>
  <c r="H73" i="3"/>
  <c r="H85" i="3"/>
  <c r="H97" i="3"/>
  <c r="H109" i="3"/>
  <c r="H121" i="3"/>
  <c r="H133" i="3"/>
  <c r="H145" i="3"/>
  <c r="H157" i="3"/>
  <c r="H169" i="3"/>
  <c r="H181" i="3"/>
  <c r="H193" i="3"/>
  <c r="H205" i="3"/>
  <c r="H217" i="3"/>
  <c r="H229" i="3"/>
  <c r="H241" i="3"/>
  <c r="H253" i="3"/>
  <c r="G264" i="3"/>
  <c r="H264" i="3" s="1"/>
  <c r="G252" i="3"/>
  <c r="H252" i="3" s="1"/>
  <c r="G240" i="3"/>
  <c r="H240" i="3" s="1"/>
  <c r="G216" i="3"/>
  <c r="H216" i="3" s="1"/>
  <c r="G180" i="3"/>
  <c r="H180" i="3" s="1"/>
  <c r="G168" i="3"/>
  <c r="H168" i="3" s="1"/>
  <c r="G156" i="3"/>
  <c r="H156" i="3" s="1"/>
  <c r="G144" i="3"/>
  <c r="H144" i="3" s="1"/>
  <c r="G132" i="3"/>
  <c r="H132" i="3" s="1"/>
  <c r="G120" i="3"/>
  <c r="H120" i="3" s="1"/>
  <c r="G108" i="3"/>
  <c r="H108" i="3" s="1"/>
  <c r="G96" i="3"/>
  <c r="H96" i="3" s="1"/>
  <c r="G84" i="3"/>
  <c r="H84" i="3" s="1"/>
  <c r="G72" i="3"/>
  <c r="H72" i="3" s="1"/>
  <c r="G48" i="3"/>
  <c r="H48" i="3" s="1"/>
  <c r="H204" i="3"/>
  <c r="H24" i="3"/>
  <c r="H60" i="3"/>
  <c r="H228" i="3"/>
  <c r="H21" i="3"/>
  <c r="H33" i="3"/>
  <c r="H45" i="3"/>
  <c r="H57" i="3"/>
  <c r="H69" i="3"/>
  <c r="H81" i="3"/>
  <c r="H93" i="3"/>
  <c r="H105" i="3"/>
  <c r="H117" i="3"/>
  <c r="H129" i="3"/>
  <c r="H141" i="3"/>
  <c r="H153" i="3"/>
  <c r="H165" i="3"/>
  <c r="H177" i="3"/>
  <c r="H189" i="3"/>
  <c r="H201" i="3"/>
  <c r="H213" i="3"/>
  <c r="H225" i="3"/>
  <c r="H237" i="3"/>
  <c r="H249" i="3"/>
  <c r="H261" i="3"/>
  <c r="H192" i="3"/>
  <c r="G259" i="3"/>
  <c r="H259" i="3" s="1"/>
  <c r="G247" i="3"/>
  <c r="H247" i="3" s="1"/>
  <c r="G235" i="3"/>
  <c r="H235" i="3" s="1"/>
  <c r="G223" i="3"/>
  <c r="H223" i="3" s="1"/>
  <c r="G211" i="3"/>
  <c r="H211" i="3" s="1"/>
  <c r="G199" i="3"/>
  <c r="H199" i="3" s="1"/>
  <c r="G187" i="3"/>
  <c r="H187" i="3" s="1"/>
  <c r="G175" i="3"/>
  <c r="H175" i="3" s="1"/>
  <c r="G163" i="3"/>
  <c r="H163" i="3" s="1"/>
  <c r="G151" i="3"/>
  <c r="H151" i="3" s="1"/>
  <c r="G139" i="3"/>
  <c r="H139" i="3" s="1"/>
  <c r="G127" i="3"/>
  <c r="H127" i="3" s="1"/>
  <c r="G115" i="3"/>
  <c r="H115" i="3" s="1"/>
  <c r="G103" i="3"/>
  <c r="H103" i="3" s="1"/>
  <c r="G91" i="3"/>
  <c r="H91" i="3" s="1"/>
  <c r="G79" i="3"/>
  <c r="H79" i="3" s="1"/>
  <c r="G67" i="3"/>
  <c r="H67" i="3" s="1"/>
  <c r="G55" i="3"/>
  <c r="H55" i="3" s="1"/>
  <c r="G43" i="3"/>
  <c r="H43" i="3" s="1"/>
  <c r="G31" i="3"/>
  <c r="H31" i="3" s="1"/>
  <c r="G19" i="3"/>
  <c r="H19" i="3" s="1"/>
  <c r="H22" i="3"/>
  <c r="H34" i="3"/>
  <c r="H46" i="3"/>
  <c r="H58" i="3"/>
  <c r="H70" i="3"/>
  <c r="H82" i="3"/>
  <c r="H94" i="3"/>
  <c r="H106" i="3"/>
  <c r="H118" i="3"/>
  <c r="H130" i="3"/>
  <c r="H142" i="3"/>
  <c r="H154" i="3"/>
  <c r="H166" i="3"/>
  <c r="H178" i="3"/>
  <c r="H190" i="3"/>
  <c r="H202" i="3"/>
  <c r="H214" i="3"/>
  <c r="H226" i="3"/>
  <c r="H238" i="3"/>
  <c r="H250" i="3"/>
  <c r="H262" i="3"/>
  <c r="G258" i="3"/>
  <c r="H258" i="3" s="1"/>
  <c r="G246" i="3"/>
  <c r="H246" i="3" s="1"/>
  <c r="G234" i="3"/>
  <c r="H234" i="3" s="1"/>
  <c r="G222" i="3"/>
  <c r="H222" i="3" s="1"/>
  <c r="G210" i="3"/>
  <c r="H210" i="3" s="1"/>
  <c r="G174" i="3"/>
  <c r="H174" i="3" s="1"/>
  <c r="G162" i="3"/>
  <c r="H162" i="3" s="1"/>
  <c r="G150" i="3"/>
  <c r="H150" i="3" s="1"/>
  <c r="G138" i="3"/>
  <c r="H138" i="3" s="1"/>
  <c r="G126" i="3"/>
  <c r="H126" i="3" s="1"/>
  <c r="G114" i="3"/>
  <c r="H114" i="3" s="1"/>
  <c r="G102" i="3"/>
  <c r="H102" i="3" s="1"/>
  <c r="G90" i="3"/>
  <c r="H90" i="3" s="1"/>
  <c r="G78" i="3"/>
  <c r="H78" i="3" s="1"/>
  <c r="G66" i="3"/>
  <c r="H66" i="3" s="1"/>
  <c r="G54" i="3"/>
  <c r="H54" i="3" s="1"/>
  <c r="G42" i="3"/>
  <c r="H42" i="3" s="1"/>
  <c r="G30" i="3"/>
  <c r="H30" i="3" s="1"/>
  <c r="G18" i="3"/>
  <c r="H18" i="3" s="1"/>
  <c r="H36" i="3"/>
  <c r="H186" i="3"/>
  <c r="H198" i="3"/>
  <c r="H17" i="3"/>
  <c r="H23" i="3"/>
  <c r="H29" i="3"/>
  <c r="H35" i="3"/>
  <c r="H41" i="3"/>
  <c r="H47" i="3"/>
  <c r="H53" i="3"/>
  <c r="H59" i="3"/>
  <c r="H65" i="3"/>
  <c r="H71" i="3"/>
  <c r="H77" i="3"/>
  <c r="H83" i="3"/>
  <c r="H89" i="3"/>
  <c r="H95" i="3"/>
  <c r="H101" i="3"/>
  <c r="H107" i="3"/>
  <c r="H113" i="3"/>
  <c r="H119" i="3"/>
  <c r="H125" i="3"/>
  <c r="H131" i="3"/>
  <c r="H137" i="3"/>
  <c r="H143" i="3"/>
  <c r="H149" i="3"/>
  <c r="H155" i="3"/>
  <c r="H161" i="3"/>
  <c r="H167" i="3"/>
  <c r="H173" i="3"/>
  <c r="H179" i="3"/>
  <c r="H185" i="3"/>
  <c r="H191" i="3"/>
  <c r="H197" i="3"/>
  <c r="H203" i="3"/>
  <c r="H209" i="3"/>
  <c r="H215" i="3"/>
  <c r="H221" i="3"/>
  <c r="H227" i="3"/>
  <c r="H233" i="3"/>
  <c r="H239" i="3"/>
  <c r="H245" i="3"/>
  <c r="H251" i="3"/>
  <c r="H257" i="3"/>
  <c r="H263" i="3"/>
  <c r="G256" i="3"/>
  <c r="H256" i="3" s="1"/>
  <c r="G244" i="3"/>
  <c r="H244" i="3" s="1"/>
  <c r="G232" i="3"/>
  <c r="H232" i="3" s="1"/>
  <c r="G220" i="3"/>
  <c r="H220" i="3" s="1"/>
  <c r="G208" i="3"/>
  <c r="H208" i="3" s="1"/>
  <c r="G196" i="3"/>
  <c r="H196" i="3" s="1"/>
  <c r="G184" i="3"/>
  <c r="H184" i="3" s="1"/>
  <c r="G172" i="3"/>
  <c r="H172" i="3" s="1"/>
  <c r="G160" i="3"/>
  <c r="H160" i="3" s="1"/>
  <c r="G148" i="3"/>
  <c r="H148" i="3" s="1"/>
  <c r="G136" i="3"/>
  <c r="H136" i="3" s="1"/>
  <c r="G124" i="3"/>
  <c r="H124" i="3" s="1"/>
  <c r="G112" i="3"/>
  <c r="H112" i="3" s="1"/>
  <c r="G100" i="3"/>
  <c r="H100" i="3" s="1"/>
  <c r="G88" i="3"/>
  <c r="H88" i="3" s="1"/>
  <c r="G76" i="3"/>
  <c r="H76" i="3" s="1"/>
  <c r="G64" i="3"/>
  <c r="H64" i="3" s="1"/>
  <c r="G52" i="3"/>
  <c r="H52" i="3" s="1"/>
  <c r="G40" i="3"/>
  <c r="H40" i="3" s="1"/>
  <c r="G28" i="3"/>
  <c r="H28" i="3" s="1"/>
  <c r="G16" i="3"/>
  <c r="H16" i="3" s="1"/>
  <c r="H15" i="3"/>
  <c r="H20" i="3"/>
  <c r="H26" i="3"/>
  <c r="H32" i="3"/>
  <c r="H38" i="3"/>
  <c r="H44" i="3"/>
  <c r="H50" i="3"/>
  <c r="H56" i="3"/>
  <c r="H62" i="3"/>
  <c r="H68" i="3"/>
  <c r="H74" i="3"/>
  <c r="H80" i="3"/>
  <c r="H86" i="3"/>
  <c r="H92" i="3"/>
  <c r="H98" i="3"/>
  <c r="H104" i="3"/>
  <c r="H110" i="3"/>
  <c r="H116" i="3"/>
  <c r="H122" i="3"/>
  <c r="H128" i="3"/>
  <c r="H134" i="3"/>
  <c r="H140" i="3"/>
  <c r="H146" i="3"/>
  <c r="H152" i="3"/>
  <c r="H158" i="3"/>
  <c r="H164" i="3"/>
  <c r="H170" i="3"/>
  <c r="H176" i="3"/>
  <c r="H182" i="3"/>
  <c r="H188" i="3"/>
  <c r="H194" i="3"/>
  <c r="H200" i="3"/>
  <c r="H206" i="3"/>
  <c r="H212" i="3"/>
  <c r="H218" i="3"/>
  <c r="H224" i="3"/>
  <c r="H230" i="3"/>
  <c r="H236" i="3"/>
  <c r="H242" i="3"/>
  <c r="H248" i="3"/>
  <c r="H254" i="3"/>
  <c r="H260" i="3"/>
  <c r="H27" i="3"/>
  <c r="H39" i="3"/>
  <c r="H63" i="3"/>
  <c r="H75" i="3"/>
  <c r="H87" i="3"/>
  <c r="H99" i="3"/>
  <c r="H111" i="3"/>
  <c r="H123" i="3"/>
  <c r="H135" i="3"/>
  <c r="H147" i="3"/>
  <c r="H159" i="3"/>
  <c r="H171" i="3"/>
  <c r="H183" i="3"/>
  <c r="H195" i="3"/>
  <c r="H207" i="3"/>
  <c r="H219" i="3"/>
  <c r="H231" i="3"/>
  <c r="H243" i="3"/>
  <c r="H255" i="3"/>
  <c r="H51" i="3"/>
  <c r="F15" i="2"/>
  <c r="A5" i="2" s="1"/>
  <c r="A5" i="3" l="1"/>
</calcChain>
</file>

<file path=xl/sharedStrings.xml><?xml version="1.0" encoding="utf-8"?>
<sst xmlns="http://schemas.openxmlformats.org/spreadsheetml/2006/main" count="2589" uniqueCount="1232">
  <si>
    <t>CiuCiudad</t>
  </si>
  <si>
    <t>CiuNombre</t>
  </si>
  <si>
    <t>CiuDep</t>
  </si>
  <si>
    <t>CiuDeptoNombre</t>
  </si>
  <si>
    <t>Medellin</t>
  </si>
  <si>
    <t>ANTIOQUIA</t>
  </si>
  <si>
    <t>Abejorral</t>
  </si>
  <si>
    <t>Amaga</t>
  </si>
  <si>
    <t>Andes</t>
  </si>
  <si>
    <t>Apartado</t>
  </si>
  <si>
    <t>Barbosa</t>
  </si>
  <si>
    <t>Bello</t>
  </si>
  <si>
    <t>Betania</t>
  </si>
  <si>
    <t>Caldas</t>
  </si>
  <si>
    <t>Caramanta</t>
  </si>
  <si>
    <t>Carolina</t>
  </si>
  <si>
    <t>Caucasia</t>
  </si>
  <si>
    <t>Cisneros</t>
  </si>
  <si>
    <t>COPACABANA</t>
  </si>
  <si>
    <t>DON MATIAS</t>
  </si>
  <si>
    <t>FREDONIA</t>
  </si>
  <si>
    <t>GIRARDOTA</t>
  </si>
  <si>
    <t>GOMEZ PLATA</t>
  </si>
  <si>
    <t>GUADALUPE</t>
  </si>
  <si>
    <t>Itagui</t>
  </si>
  <si>
    <t>Puerto Berrio</t>
  </si>
  <si>
    <t>Puerto Triunfo</t>
  </si>
  <si>
    <t>Rionegro</t>
  </si>
  <si>
    <t>Sonson</t>
  </si>
  <si>
    <t>Turbo</t>
  </si>
  <si>
    <t>Yarumal</t>
  </si>
  <si>
    <t>MUNICIPIO 7</t>
  </si>
  <si>
    <t>MUNICIPIO 8</t>
  </si>
  <si>
    <t>Barranquilla</t>
  </si>
  <si>
    <t>ATLANTICO</t>
  </si>
  <si>
    <t>Galapa</t>
  </si>
  <si>
    <t>Luruaco</t>
  </si>
  <si>
    <t>Manati</t>
  </si>
  <si>
    <t>Ponedera</t>
  </si>
  <si>
    <t>Puerto Colombia</t>
  </si>
  <si>
    <t>Sabana Grande</t>
  </si>
  <si>
    <t>Sabana Larga</t>
  </si>
  <si>
    <t>Santa Lucia</t>
  </si>
  <si>
    <t>Santo Tomas</t>
  </si>
  <si>
    <t>MUNICIPIO 1</t>
  </si>
  <si>
    <t>MUNICIPIO 2</t>
  </si>
  <si>
    <t>MUNICIPIO 3</t>
  </si>
  <si>
    <t>Bogota</t>
  </si>
  <si>
    <t>Distrito Capital</t>
  </si>
  <si>
    <t>Cartagena</t>
  </si>
  <si>
    <t>BOLIVAR</t>
  </si>
  <si>
    <t>Arjona</t>
  </si>
  <si>
    <t>Calamar</t>
  </si>
  <si>
    <t>Carmen de Bolivar</t>
  </si>
  <si>
    <t>Magangue</t>
  </si>
  <si>
    <t>Maria La Baja</t>
  </si>
  <si>
    <t>Mompos</t>
  </si>
  <si>
    <t>San Jacinto</t>
  </si>
  <si>
    <t>San Juan Nepomuceno</t>
  </si>
  <si>
    <t>Santa Rosa</t>
  </si>
  <si>
    <t>Turbaco</t>
  </si>
  <si>
    <t>Villa Nueva</t>
  </si>
  <si>
    <t>MUNICIPIO 4</t>
  </si>
  <si>
    <t>Tunja</t>
  </si>
  <si>
    <t>BOYACA</t>
  </si>
  <si>
    <t>Arcabuco</t>
  </si>
  <si>
    <t>Briceño</t>
  </si>
  <si>
    <t>Chinavita</t>
  </si>
  <si>
    <t>Chiquinquira</t>
  </si>
  <si>
    <t>Duitama</t>
  </si>
  <si>
    <t>Guateque</t>
  </si>
  <si>
    <t>La Capilla</t>
  </si>
  <si>
    <t>Paipa</t>
  </si>
  <si>
    <t>Sogamoso</t>
  </si>
  <si>
    <t>Somondoco</t>
  </si>
  <si>
    <t>Tuta</t>
  </si>
  <si>
    <t>Manizales</t>
  </si>
  <si>
    <t>CALDAS</t>
  </si>
  <si>
    <t>Aguadas</t>
  </si>
  <si>
    <t>Anserma</t>
  </si>
  <si>
    <t>Belalcazar</t>
  </si>
  <si>
    <t>Chinchina</t>
  </si>
  <si>
    <t>Filadelfia</t>
  </si>
  <si>
    <t>La Dorada</t>
  </si>
  <si>
    <t>Neira</t>
  </si>
  <si>
    <t>Pacora</t>
  </si>
  <si>
    <t>Riosucio</t>
  </si>
  <si>
    <t>Risaralda</t>
  </si>
  <si>
    <t>Salamina</t>
  </si>
  <si>
    <t>Supia</t>
  </si>
  <si>
    <t>Viterbo</t>
  </si>
  <si>
    <t>Florencia</t>
  </si>
  <si>
    <t>CAQUETA</t>
  </si>
  <si>
    <t>El Doncello</t>
  </si>
  <si>
    <t>Popayan</t>
  </si>
  <si>
    <t>CAUCA</t>
  </si>
  <si>
    <t>Bolivar</t>
  </si>
  <si>
    <t>El Tambo</t>
  </si>
  <si>
    <t>Jambaló</t>
  </si>
  <si>
    <t>Piendamó</t>
  </si>
  <si>
    <t>Rosas</t>
  </si>
  <si>
    <t>Santander de Quilichao</t>
  </si>
  <si>
    <t>Silvia</t>
  </si>
  <si>
    <t>Toribio</t>
  </si>
  <si>
    <t>Valledupar</t>
  </si>
  <si>
    <t>CESAR</t>
  </si>
  <si>
    <t>Aguachica</t>
  </si>
  <si>
    <t>Becerril</t>
  </si>
  <si>
    <t>Bosconia</t>
  </si>
  <si>
    <t>La Jagua</t>
  </si>
  <si>
    <t>Pailitas</t>
  </si>
  <si>
    <t>Robles (La Paz)</t>
  </si>
  <si>
    <t>San Alberto</t>
  </si>
  <si>
    <t>San Diego</t>
  </si>
  <si>
    <t>Monteria</t>
  </si>
  <si>
    <t>CORDOBA</t>
  </si>
  <si>
    <t>Cereté</t>
  </si>
  <si>
    <t>Chinú</t>
  </si>
  <si>
    <t>Ciénaga de Oro</t>
  </si>
  <si>
    <t>Lorica</t>
  </si>
  <si>
    <t>Los Cordoba</t>
  </si>
  <si>
    <t>Planeta Rica</t>
  </si>
  <si>
    <t>Puerto Escondido</t>
  </si>
  <si>
    <t>Sahagún</t>
  </si>
  <si>
    <t>San Pelayo</t>
  </si>
  <si>
    <t>Tierra Alta</t>
  </si>
  <si>
    <t>Agua de Dios</t>
  </si>
  <si>
    <t>CUNDINAMARCA</t>
  </si>
  <si>
    <t>Anolaima</t>
  </si>
  <si>
    <t>Cachipay</t>
  </si>
  <si>
    <t>Cajica</t>
  </si>
  <si>
    <t>Caqueza</t>
  </si>
  <si>
    <t>Chaguani</t>
  </si>
  <si>
    <t>Chia</t>
  </si>
  <si>
    <t>Chipaque</t>
  </si>
  <si>
    <t>CHOACHI</t>
  </si>
  <si>
    <t>COTA</t>
  </si>
  <si>
    <t>FACATATIVA</t>
  </si>
  <si>
    <t>FOMEQUE</t>
  </si>
  <si>
    <t>Funza</t>
  </si>
  <si>
    <t>Fusagasuga</t>
  </si>
  <si>
    <t>GACHETA</t>
  </si>
  <si>
    <t>Girardot</t>
  </si>
  <si>
    <t>Tocaima</t>
  </si>
  <si>
    <t>Ubate</t>
  </si>
  <si>
    <t>Villeta</t>
  </si>
  <si>
    <t>MUNICIPIO 6</t>
  </si>
  <si>
    <t>Quibdo</t>
  </si>
  <si>
    <t>CHOCO</t>
  </si>
  <si>
    <t>Itsmina</t>
  </si>
  <si>
    <t>Tadó</t>
  </si>
  <si>
    <t>Municipio 3</t>
  </si>
  <si>
    <t>Neiva</t>
  </si>
  <si>
    <t>HUILA</t>
  </si>
  <si>
    <t>Algeciras</t>
  </si>
  <si>
    <t>Campo Alegre</t>
  </si>
  <si>
    <t>Garzon</t>
  </si>
  <si>
    <t>Gigante</t>
  </si>
  <si>
    <t>La Plata</t>
  </si>
  <si>
    <t>Pitalito</t>
  </si>
  <si>
    <t>San Agustin</t>
  </si>
  <si>
    <t>Tesalia</t>
  </si>
  <si>
    <t>Tello</t>
  </si>
  <si>
    <t>Riohacha</t>
  </si>
  <si>
    <t>LA GUAJIRA</t>
  </si>
  <si>
    <t>Barrancas</t>
  </si>
  <si>
    <t>El Molino</t>
  </si>
  <si>
    <t>Fonseca</t>
  </si>
  <si>
    <t>Maicao</t>
  </si>
  <si>
    <t>Manaure</t>
  </si>
  <si>
    <t>San Juan del Cesar</t>
  </si>
  <si>
    <t>Uribia</t>
  </si>
  <si>
    <t>Urumita</t>
  </si>
  <si>
    <t>Santa Marta</t>
  </si>
  <si>
    <t>MAGDALENA</t>
  </si>
  <si>
    <t>Aracataca</t>
  </si>
  <si>
    <t>Ciénaga</t>
  </si>
  <si>
    <t>El Banco</t>
  </si>
  <si>
    <t>Fundación</t>
  </si>
  <si>
    <t>Guamal</t>
  </si>
  <si>
    <t>Pivijay</t>
  </si>
  <si>
    <t>Plato</t>
  </si>
  <si>
    <t>Tenerife</t>
  </si>
  <si>
    <t>Villavicencio</t>
  </si>
  <si>
    <t>META</t>
  </si>
  <si>
    <t>Acacias</t>
  </si>
  <si>
    <t>Cumaral</t>
  </si>
  <si>
    <t>Granada</t>
  </si>
  <si>
    <t>Puerto Gaitan</t>
  </si>
  <si>
    <t>Puerto López</t>
  </si>
  <si>
    <t>Puerto Rico</t>
  </si>
  <si>
    <t>Restrepo</t>
  </si>
  <si>
    <t>San Martin</t>
  </si>
  <si>
    <t>Pasto</t>
  </si>
  <si>
    <t>NARI-O</t>
  </si>
  <si>
    <t>Anacuya</t>
  </si>
  <si>
    <t>Ipiales</t>
  </si>
  <si>
    <t>La Cruz</t>
  </si>
  <si>
    <t>La Union</t>
  </si>
  <si>
    <t>Linares</t>
  </si>
  <si>
    <t>Pupiales</t>
  </si>
  <si>
    <t>San Pablo</t>
  </si>
  <si>
    <t>Tumaco</t>
  </si>
  <si>
    <t>MUNICIPIO 5</t>
  </si>
  <si>
    <t>Cucuta</t>
  </si>
  <si>
    <t>N. DE SANTANDER</t>
  </si>
  <si>
    <t>Cachira</t>
  </si>
  <si>
    <t>Chinacota</t>
  </si>
  <si>
    <t>Chitaga</t>
  </si>
  <si>
    <t>Cucutilla</t>
  </si>
  <si>
    <t>El Zulia</t>
  </si>
  <si>
    <t>Gramalote</t>
  </si>
  <si>
    <t>Ocaña</t>
  </si>
  <si>
    <t>Pamplona</t>
  </si>
  <si>
    <t>Toledo</t>
  </si>
  <si>
    <t>Armenia</t>
  </si>
  <si>
    <t>QUINDIO</t>
  </si>
  <si>
    <t>Calarca</t>
  </si>
  <si>
    <t>Circacia</t>
  </si>
  <si>
    <t>Cordoba</t>
  </si>
  <si>
    <t>Filandia</t>
  </si>
  <si>
    <t>Genova</t>
  </si>
  <si>
    <t>La Tebaida</t>
  </si>
  <si>
    <t>Montenegro</t>
  </si>
  <si>
    <t>Quimbaya</t>
  </si>
  <si>
    <t>Salento</t>
  </si>
  <si>
    <t>Pereira</t>
  </si>
  <si>
    <t>RISARALDA</t>
  </si>
  <si>
    <t>Apia</t>
  </si>
  <si>
    <t>Balboa</t>
  </si>
  <si>
    <t>Dos Quebradas</t>
  </si>
  <si>
    <t>Guatica</t>
  </si>
  <si>
    <t>La Celia</t>
  </si>
  <si>
    <t>La Virginia</t>
  </si>
  <si>
    <t>Marsella</t>
  </si>
  <si>
    <t>Mistrato</t>
  </si>
  <si>
    <t>Quinchia</t>
  </si>
  <si>
    <t>Santa Rosa De Cabal</t>
  </si>
  <si>
    <t>Bucaramanga</t>
  </si>
  <si>
    <t>SANTANDER</t>
  </si>
  <si>
    <t>Barrancabermeja</t>
  </si>
  <si>
    <t>Charala</t>
  </si>
  <si>
    <t>El Playon</t>
  </si>
  <si>
    <t>Giron</t>
  </si>
  <si>
    <t>Lebrija</t>
  </si>
  <si>
    <t>Malaga</t>
  </si>
  <si>
    <t>Piedecuesta</t>
  </si>
  <si>
    <t>SABANA DE TORRES</t>
  </si>
  <si>
    <t>San Gil</t>
  </si>
  <si>
    <t>San Vicente De Chucuri</t>
  </si>
  <si>
    <t>SUAITA</t>
  </si>
  <si>
    <t>Velez</t>
  </si>
  <si>
    <t>ZAPATOCA</t>
  </si>
  <si>
    <t>Sincelejo</t>
  </si>
  <si>
    <t>SUCRE</t>
  </si>
  <si>
    <t>Corozal</t>
  </si>
  <si>
    <t>Galeras</t>
  </si>
  <si>
    <t>Los Palmitos</t>
  </si>
  <si>
    <t>Ovejas</t>
  </si>
  <si>
    <t>Sampués</t>
  </si>
  <si>
    <t>San Marcos</t>
  </si>
  <si>
    <t>San Onofre</t>
  </si>
  <si>
    <t>Sincé</t>
  </si>
  <si>
    <t>Tolú</t>
  </si>
  <si>
    <t>Ibague</t>
  </si>
  <si>
    <t>TOLIMA</t>
  </si>
  <si>
    <t>Alvarado</t>
  </si>
  <si>
    <t>Anzoategui</t>
  </si>
  <si>
    <t>Armero (Guayabal)</t>
  </si>
  <si>
    <t>Ataco</t>
  </si>
  <si>
    <t>CAJAMARCA</t>
  </si>
  <si>
    <t>CHAPARRAL</t>
  </si>
  <si>
    <t>DOLORES</t>
  </si>
  <si>
    <t>Espinal</t>
  </si>
  <si>
    <t>FRESNO</t>
  </si>
  <si>
    <t>Guamo</t>
  </si>
  <si>
    <t>Lerida</t>
  </si>
  <si>
    <t>Mariquita</t>
  </si>
  <si>
    <t>Purificación</t>
  </si>
  <si>
    <t>Cali</t>
  </si>
  <si>
    <t>VALLE DEL CAUCA</t>
  </si>
  <si>
    <t>Alcala</t>
  </si>
  <si>
    <t>Andalucia</t>
  </si>
  <si>
    <t>Buenaventura</t>
  </si>
  <si>
    <t>Buga</t>
  </si>
  <si>
    <t>Caicedonia</t>
  </si>
  <si>
    <t>CALIMA(DARIEN)</t>
  </si>
  <si>
    <t>CANDELARIA</t>
  </si>
  <si>
    <t>Cartago</t>
  </si>
  <si>
    <t>DAGUA</t>
  </si>
  <si>
    <t>EL DOVIO</t>
  </si>
  <si>
    <t>GUACARI</t>
  </si>
  <si>
    <t>Jamundi</t>
  </si>
  <si>
    <t>La Victoria</t>
  </si>
  <si>
    <t>Palmira</t>
  </si>
  <si>
    <t>Sevilla</t>
  </si>
  <si>
    <t>Tulua</t>
  </si>
  <si>
    <t>Yumbo</t>
  </si>
  <si>
    <t>Arauca</t>
  </si>
  <si>
    <t>ARAUCA</t>
  </si>
  <si>
    <t>Puerto Rondon</t>
  </si>
  <si>
    <t>Tame</t>
  </si>
  <si>
    <t>Yopal</t>
  </si>
  <si>
    <t>CASANARE</t>
  </si>
  <si>
    <t>Aguazul</t>
  </si>
  <si>
    <t>Villanueva</t>
  </si>
  <si>
    <t>Mocoa</t>
  </si>
  <si>
    <t>PUTUMAYO</t>
  </si>
  <si>
    <t>Sibundoy</t>
  </si>
  <si>
    <t>Santiago</t>
  </si>
  <si>
    <t>Villa Garzon</t>
  </si>
  <si>
    <t>San Andres, Isla</t>
  </si>
  <si>
    <t>SAN ANDRES/PROV</t>
  </si>
  <si>
    <t>Leticia</t>
  </si>
  <si>
    <t>AMAZONAS</t>
  </si>
  <si>
    <t>San José Guaviare</t>
  </si>
  <si>
    <t>GUAVIARE</t>
  </si>
  <si>
    <t>Puerto Carreño</t>
  </si>
  <si>
    <t>VICHADA</t>
  </si>
  <si>
    <t>Venezuela</t>
  </si>
  <si>
    <t>Sao Paulo</t>
  </si>
  <si>
    <t>Brasil</t>
  </si>
  <si>
    <t>Bello Horizonte</t>
  </si>
  <si>
    <t>Quito</t>
  </si>
  <si>
    <t>Ecuador</t>
  </si>
  <si>
    <t>La Paz</t>
  </si>
  <si>
    <t>NULL</t>
  </si>
  <si>
    <t>Asuncion</t>
  </si>
  <si>
    <t>Buenos Aires</t>
  </si>
  <si>
    <t>Argentina</t>
  </si>
  <si>
    <t>Lima</t>
  </si>
  <si>
    <t>Peru</t>
  </si>
  <si>
    <t>Managua</t>
  </si>
  <si>
    <t>Nicaragua</t>
  </si>
  <si>
    <t>Tegucigalpa</t>
  </si>
  <si>
    <t>Santo Domingo</t>
  </si>
  <si>
    <t>San Salvador</t>
  </si>
  <si>
    <t>Panama</t>
  </si>
  <si>
    <t>Ciudad Panama</t>
  </si>
  <si>
    <t>Mexico</t>
  </si>
  <si>
    <t>San Juan</t>
  </si>
  <si>
    <t>San Jose</t>
  </si>
  <si>
    <t>Costa Rica</t>
  </si>
  <si>
    <t>Ciudad de Guatemala</t>
  </si>
  <si>
    <t>Washington</t>
  </si>
  <si>
    <t>EE.UU</t>
  </si>
  <si>
    <t>Miami</t>
  </si>
  <si>
    <t>Otras USA</t>
  </si>
  <si>
    <t>Ottawa</t>
  </si>
  <si>
    <t>Canada</t>
  </si>
  <si>
    <t>Winnipeg</t>
  </si>
  <si>
    <t>Madrid</t>
  </si>
  <si>
    <t>España</t>
  </si>
  <si>
    <t>Paris</t>
  </si>
  <si>
    <t>Francia</t>
  </si>
  <si>
    <t>Londres</t>
  </si>
  <si>
    <t>Inglaterra</t>
  </si>
  <si>
    <t>Berlin</t>
  </si>
  <si>
    <t>Alemania</t>
  </si>
  <si>
    <t>Hamburgo</t>
  </si>
  <si>
    <t>Suiza</t>
  </si>
  <si>
    <t>Milan</t>
  </si>
  <si>
    <t>Italia</t>
  </si>
  <si>
    <t>Tokio</t>
  </si>
  <si>
    <t>Japon</t>
  </si>
  <si>
    <t>Seul</t>
  </si>
  <si>
    <t>Corea</t>
  </si>
  <si>
    <t>Moscu</t>
  </si>
  <si>
    <t>Rusia</t>
  </si>
  <si>
    <t>Otro Pais</t>
  </si>
  <si>
    <t>Otros</t>
  </si>
  <si>
    <t>Otra Ciudad</t>
  </si>
  <si>
    <t>Inirida</t>
  </si>
  <si>
    <t>GUAINIA</t>
  </si>
  <si>
    <t>Mitu</t>
  </si>
  <si>
    <t>VAUPES</t>
  </si>
  <si>
    <t>ABRIAQUI</t>
  </si>
  <si>
    <t>ALEJANDRIA</t>
  </si>
  <si>
    <t>AMALFI</t>
  </si>
  <si>
    <t>ANGELOPOLIS</t>
  </si>
  <si>
    <t>ANGOSTURA</t>
  </si>
  <si>
    <t>ANORI</t>
  </si>
  <si>
    <t>ANZA</t>
  </si>
  <si>
    <t>ARBOLETES</t>
  </si>
  <si>
    <t>ARGELIA</t>
  </si>
  <si>
    <t>ARMENIA</t>
  </si>
  <si>
    <t>BELMIRA</t>
  </si>
  <si>
    <t>BETULIA</t>
  </si>
  <si>
    <t>BRICENO</t>
  </si>
  <si>
    <t>BURITICA</t>
  </si>
  <si>
    <t>CACERES</t>
  </si>
  <si>
    <t>CAICEDO</t>
  </si>
  <si>
    <t>CAMPAMENTO</t>
  </si>
  <si>
    <t>CANASGORDAS</t>
  </si>
  <si>
    <t>CARACOLI</t>
  </si>
  <si>
    <t>CAREPA</t>
  </si>
  <si>
    <t>CARMEN DE VIBORAL</t>
  </si>
  <si>
    <t>CHIGORODO</t>
  </si>
  <si>
    <t>COCORNA</t>
  </si>
  <si>
    <t>CONCEPCION</t>
  </si>
  <si>
    <t>CONCORDIA</t>
  </si>
  <si>
    <t>DABEIBA</t>
  </si>
  <si>
    <t>EBEJICO</t>
  </si>
  <si>
    <t>EL BAGRE</t>
  </si>
  <si>
    <t>ENTRERRIOS</t>
  </si>
  <si>
    <t>ENVIGADO</t>
  </si>
  <si>
    <t>FRONTINO</t>
  </si>
  <si>
    <t>GIRALDO</t>
  </si>
  <si>
    <t>GRANADA</t>
  </si>
  <si>
    <t>GUARNE</t>
  </si>
  <si>
    <t>GUATAPE</t>
  </si>
  <si>
    <t>HELICONIA</t>
  </si>
  <si>
    <t>HISPANIA</t>
  </si>
  <si>
    <t>ITUANGO</t>
  </si>
  <si>
    <t>JARDIN</t>
  </si>
  <si>
    <t>JERICO</t>
  </si>
  <si>
    <t>LA CEJA</t>
  </si>
  <si>
    <t>LA ESTRELLA</t>
  </si>
  <si>
    <t>LA UNION</t>
  </si>
  <si>
    <t>LIBORINA</t>
  </si>
  <si>
    <t>MACEO</t>
  </si>
  <si>
    <t>MARINILLA</t>
  </si>
  <si>
    <t>MONTEBELLO</t>
  </si>
  <si>
    <t>MURINDO</t>
  </si>
  <si>
    <t>MUTATA</t>
  </si>
  <si>
    <t>NARINO</t>
  </si>
  <si>
    <t>NECOCLI</t>
  </si>
  <si>
    <t>NECHI</t>
  </si>
  <si>
    <t>OLAYA</t>
  </si>
  <si>
    <t>PENOL</t>
  </si>
  <si>
    <t>PEQUE</t>
  </si>
  <si>
    <t>PUEBLORRICO</t>
  </si>
  <si>
    <t>PUERTO NARE (LA MAGDALENA</t>
  </si>
  <si>
    <t>REMEDIOS</t>
  </si>
  <si>
    <t>RETIRO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</si>
  <si>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</si>
  <si>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</si>
  <si>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</si>
  <si>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</si>
  <si>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</si>
  <si>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</si>
  <si>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</si>
  <si>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MONTANA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</si>
  <si>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</si>
  <si>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</si>
  <si>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</si>
  <si>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</si>
  <si>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</si>
  <si>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</si>
  <si>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</si>
  <si>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</si>
  <si>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</si>
  <si>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</si>
  <si>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</si>
  <si>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</si>
  <si>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SOPETRAN</t>
  </si>
  <si>
    <t>TAMESIS</t>
  </si>
  <si>
    <t>TERAZA</t>
  </si>
  <si>
    <t>TARSO</t>
  </si>
  <si>
    <t>TITIRIBI</t>
  </si>
  <si>
    <t>TOLEDO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</si>
  <si>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</si>
  <si>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</si>
  <si>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</si>
  <si>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</si>
  <si>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</si>
  <si>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</si>
  <si>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</si>
  <si>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</si>
  <si>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YOLOMBO</t>
  </si>
  <si>
    <t>YONDO</t>
  </si>
  <si>
    <t>ZARAGOZA</t>
  </si>
  <si>
    <t>BARANOA</t>
  </si>
  <si>
    <t>CAMPO DE LA CRUZ</t>
  </si>
  <si>
    <t>JUAN DE ACOSTA</t>
  </si>
  <si>
    <t>MALAMBO</t>
  </si>
  <si>
    <t>PALMAR DE VARELA</t>
  </si>
  <si>
    <t>PIOJO</t>
  </si>
  <si>
    <t>POLO NUEVO</t>
  </si>
  <si>
    <t>REPELON</t>
  </si>
  <si>
    <t>SOLEDAD</t>
  </si>
  <si>
    <t>SUAN</t>
  </si>
  <si>
    <t>TUBARA</t>
  </si>
  <si>
    <t>USIACURI</t>
  </si>
  <si>
    <t>ACHI</t>
  </si>
  <si>
    <t>ALTOS DEL ROSARIO</t>
  </si>
  <si>
    <t>ARENAL</t>
  </si>
  <si>
    <t>ARROYOHONDO</t>
  </si>
  <si>
    <t>BARRANCO DE LOBA</t>
  </si>
  <si>
    <t>CANTAGALLO</t>
  </si>
  <si>
    <t>CICUCO</t>
  </si>
  <si>
    <t>CLEMENCIA</t>
  </si>
  <si>
    <t>EL GUAMO</t>
  </si>
  <si>
    <t>EL PEÑÓN</t>
  </si>
  <si>
    <t>HATILLO DE LOBA</t>
  </si>
  <si>
    <t>MAHATES</t>
  </si>
  <si>
    <t>MARGARITA</t>
  </si>
  <si>
    <t>MONTECRISTO</t>
  </si>
  <si>
    <t>MORALES</t>
  </si>
  <si>
    <t>NOROSÍ</t>
  </si>
  <si>
    <t>PINILLOS</t>
  </si>
  <si>
    <t>REGIDOR</t>
  </si>
  <si>
    <t>RIO VIEJO</t>
  </si>
  <si>
    <t>SAN CRISTÓBAL</t>
  </si>
  <si>
    <t>SAN ESTANISLAO</t>
  </si>
  <si>
    <t>SAN FERNANDO</t>
  </si>
  <si>
    <t>SAN JACINTO DEL CAUCA</t>
  </si>
  <si>
    <t>SAN MARTIN DE LOBA</t>
  </si>
  <si>
    <t>SAN PABLO</t>
  </si>
  <si>
    <t>SANTA CATALINA</t>
  </si>
  <si>
    <t>SANTA ROSA DEL SUR</t>
  </si>
  <si>
    <t>SIMITI</t>
  </si>
  <si>
    <t>SOPLAVIENTO</t>
  </si>
  <si>
    <t>TALAIGUA NUEVO</t>
  </si>
  <si>
    <t>TIQUISIO</t>
  </si>
  <si>
    <t>TURBANA</t>
  </si>
  <si>
    <t>ZAMBRANO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</si>
  <si>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</si>
  <si>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</si>
  <si>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</si>
  <si>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</si>
  <si>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</si>
  <si>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</si>
  <si>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</si>
  <si>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</si>
  <si>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</si>
  <si>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</si>
  <si>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CHISGAS</t>
  </si>
  <si>
    <t>CHITA</t>
  </si>
  <si>
    <t>CHITARAQUE</t>
  </si>
  <si>
    <t>CHIVATA</t>
  </si>
  <si>
    <t>CIENAGA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</si>
  <si>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</si>
  <si>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</si>
  <si>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</si>
  <si>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</si>
  <si>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</si>
  <si>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</si>
  <si>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</si>
  <si>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</si>
  <si>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</si>
  <si>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</si>
  <si>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</si>
  <si>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</si>
  <si>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</si>
  <si>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</si>
  <si>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</si>
  <si>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</si>
  <si>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</si>
  <si>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GUAYATA</t>
  </si>
  <si>
    <t>GUICAN</t>
  </si>
  <si>
    <t>IZA</t>
  </si>
  <si>
    <t>JENESANO</t>
  </si>
  <si>
    <t>LABRANZAGRANDE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</si>
  <si>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</si>
  <si>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</si>
  <si>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</si>
  <si>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</si>
  <si>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</si>
  <si>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</si>
  <si>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</si>
  <si>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</si>
  <si>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</si>
  <si>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</si>
  <si>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</si>
  <si>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</si>
  <si>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</si>
  <si>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</si>
  <si>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</si>
  <si>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</si>
  <si>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</si>
  <si>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PAJARITO</t>
  </si>
  <si>
    <t>PANQUEBA</t>
  </si>
  <si>
    <t>PAUNA</t>
  </si>
  <si>
    <t>PAYA</t>
  </si>
  <si>
    <t>PAZ DEL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</si>
  <si>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</si>
  <si>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</si>
  <si>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</si>
  <si>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</si>
  <si>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</si>
  <si>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</si>
  <si>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</si>
  <si>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</si>
  <si>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</si>
  <si>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</si>
  <si>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</si>
  <si>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</si>
  <si>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</si>
  <si>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</si>
  <si>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</si>
  <si>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</si>
  <si>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</si>
  <si>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</si>
  <si>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</si>
  <si>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</si>
  <si>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</si>
  <si>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</si>
  <si>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</si>
  <si>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</si>
  <si>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</si>
  <si>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</si>
  <si>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</si>
  <si>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</si>
  <si>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</si>
  <si>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</si>
  <si>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</si>
  <si>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</si>
  <si>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</si>
  <si>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</si>
  <si>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</si>
  <si>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</si>
  <si>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</si>
  <si>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</si>
  <si>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</si>
  <si>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</si>
  <si>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</si>
  <si>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</si>
  <si>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</si>
  <si>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</si>
  <si>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TUTASA</t>
  </si>
  <si>
    <t>UMBITA</t>
  </si>
  <si>
    <t>VENTAQUEMADA</t>
  </si>
  <si>
    <t>VIRACACHA</t>
  </si>
  <si>
    <t>ZETAQUIRA</t>
  </si>
  <si>
    <t>ARANZAZU</t>
  </si>
  <si>
    <t>LA MERCED</t>
  </si>
  <si>
    <t>MANZANARES</t>
  </si>
  <si>
    <t>MARMATO</t>
  </si>
  <si>
    <t>MARQUETALIA</t>
  </si>
  <si>
    <t>MARULANDA</t>
  </si>
  <si>
    <t>NEIRA</t>
  </si>
  <si>
    <t>NORCASIA</t>
  </si>
  <si>
    <t>PALESTINA</t>
  </si>
  <si>
    <t>PENSILVANIA</t>
  </si>
  <si>
    <t>SAMANA</t>
  </si>
  <si>
    <t>SAN JOSÉ</t>
  </si>
  <si>
    <t>VICTORIA</t>
  </si>
  <si>
    <t>VILLAMARIA</t>
  </si>
  <si>
    <t>ALBANIA</t>
  </si>
  <si>
    <t>BELEN ANDAQUIES</t>
  </si>
  <si>
    <t>CARTAGENA DEL CHAIRA</t>
  </si>
  <si>
    <t>CURILLO</t>
  </si>
  <si>
    <t>EL PAUJIL</t>
  </si>
  <si>
    <t>LA MONTANITA</t>
  </si>
  <si>
    <t>MILAN</t>
  </si>
  <si>
    <t>MERELIA</t>
  </si>
  <si>
    <t>PUERTO RICO</t>
  </si>
  <si>
    <t>SAN JOSE DE FRAGUA</t>
  </si>
  <si>
    <t>SAN VICENTE DEL CAGUAN</t>
  </si>
  <si>
    <t>SOLANO</t>
  </si>
  <si>
    <t>SOLITA</t>
  </si>
  <si>
    <t>ALMAGUER</t>
  </si>
  <si>
    <t>BALBOA</t>
  </si>
  <si>
    <t>BUENOS AIRES</t>
  </si>
  <si>
    <t>CAJIBIO</t>
  </si>
  <si>
    <t>CALDONO</t>
  </si>
  <si>
    <t>CALOTO</t>
  </si>
  <si>
    <t>CORINTO</t>
  </si>
  <si>
    <t>FLORENCIA</t>
  </si>
  <si>
    <t>GUACHENÉ</t>
  </si>
  <si>
    <t>GAUPI</t>
  </si>
  <si>
    <t>INZA</t>
  </si>
  <si>
    <t>LA SIERRA</t>
  </si>
  <si>
    <t>LA VEGA</t>
  </si>
  <si>
    <t>LOPEZ</t>
  </si>
  <si>
    <t>MERCADERES</t>
  </si>
  <si>
    <t>MIRANDA</t>
  </si>
  <si>
    <t>PADILLA</t>
  </si>
  <si>
    <t>PATIA(EL BORDO)</t>
  </si>
  <si>
    <t>PIAMONTE</t>
  </si>
  <si>
    <t>PUERTO TEJADA</t>
  </si>
  <si>
    <t>PURACE</t>
  </si>
  <si>
    <t>SAN SEBASTIAN</t>
  </si>
  <si>
    <t>SANTA ROSA</t>
  </si>
  <si>
    <t>SOTARA</t>
  </si>
  <si>
    <t>SUAREZ</t>
  </si>
  <si>
    <t>TIMBIO</t>
  </si>
  <si>
    <t>TIMBIQUI</t>
  </si>
  <si>
    <t>TOTORO</t>
  </si>
  <si>
    <t>VILLA RICA</t>
  </si>
  <si>
    <t>AGUSTIN CODAZZI</t>
  </si>
  <si>
    <t>ASTREA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</si>
  <si>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</si>
  <si>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</si>
  <si>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</si>
  <si>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</si>
  <si>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</si>
  <si>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</si>
  <si>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</si>
  <si>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</si>
  <si>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MANAURE BALCON DEL CESAR</t>
  </si>
  <si>
    <t>PELAYA</t>
  </si>
  <si>
    <t>PUEBLO BELLO</t>
  </si>
  <si>
    <t>RIO DE ORO</t>
  </si>
  <si>
    <t>SAN MARTIN</t>
  </si>
  <si>
    <t>TAMALAMEQUE</t>
  </si>
  <si>
    <t>AYAPEL</t>
  </si>
  <si>
    <t>CANALETE</t>
  </si>
  <si>
    <t>CHIMA</t>
  </si>
  <si>
    <t>COTORRA</t>
  </si>
  <si>
    <t>LA APARTADA</t>
  </si>
  <si>
    <t>MOMIL</t>
  </si>
  <si>
    <t>MONTELIBANO</t>
  </si>
  <si>
    <t>MO-ITOS</t>
  </si>
  <si>
    <t>PUEBLO NUEVO</t>
  </si>
  <si>
    <t>PUERTO LIBERTADOR</t>
  </si>
  <si>
    <t>PURISIMA</t>
  </si>
  <si>
    <t>SAN ANDRES SOTAVENTO</t>
  </si>
  <si>
    <t>SAN ANTERO</t>
  </si>
  <si>
    <t>SAN BERNARDO VIENTO</t>
  </si>
  <si>
    <t>SAN JOSÉ DE URÉ</t>
  </si>
  <si>
    <t>TUCHÍN</t>
  </si>
  <si>
    <t>VALENCIA</t>
  </si>
  <si>
    <t>ALBAN</t>
  </si>
  <si>
    <t>ANAPOIMA</t>
  </si>
  <si>
    <t>ARBELAEZ</t>
  </si>
  <si>
    <t>BELTRAN</t>
  </si>
  <si>
    <t>BITUIMA</t>
  </si>
  <si>
    <t>BOJACA</t>
  </si>
  <si>
    <t>CABRERA</t>
  </si>
  <si>
    <t>CAPARRAPI</t>
  </si>
  <si>
    <t>CARMEN DE CARUPA</t>
  </si>
  <si>
    <t>CHOCONTA</t>
  </si>
  <si>
    <t>COGUA</t>
  </si>
  <si>
    <t>CUCUNUBA</t>
  </si>
  <si>
    <t>EL COLEGIO</t>
  </si>
  <si>
    <t>EL PE-ON</t>
  </si>
  <si>
    <t>EL ROSAL</t>
  </si>
  <si>
    <t>FOSCA</t>
  </si>
  <si>
    <t>FUQUENE</t>
  </si>
  <si>
    <t>GACHALA</t>
  </si>
  <si>
    <t>GACHANCIPA</t>
  </si>
  <si>
    <t>GAMA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</si>
  <si>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</si>
  <si>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</si>
  <si>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</si>
  <si>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</si>
  <si>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</si>
  <si>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</si>
  <si>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</si>
  <si>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</si>
  <si>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</si>
  <si>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</si>
  <si>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</si>
  <si>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</si>
  <si>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</si>
  <si>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PE-A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</si>
  <si>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</si>
  <si>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</si>
  <si>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</si>
  <si>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</si>
  <si>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</si>
  <si>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</si>
  <si>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</si>
  <si>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</si>
  <si>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NIMAINA</t>
  </si>
  <si>
    <t>NOCAIMA</t>
  </si>
  <si>
    <t>OSPINA PEREZ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</si>
  <si>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</si>
  <si>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</si>
  <si>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</si>
  <si>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</si>
  <si>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</si>
  <si>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</si>
  <si>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</si>
  <si>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</si>
  <si>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</si>
  <si>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</si>
  <si>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RAFAEL REYES</t>
  </si>
  <si>
    <t>RICAURTE</t>
  </si>
  <si>
    <t>SAN ANTONIO DEL TEQUENDAM</t>
  </si>
  <si>
    <t>SAN CERNARDO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</si>
  <si>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</si>
  <si>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</si>
  <si>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</si>
  <si>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</si>
  <si>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</si>
  <si>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</si>
  <si>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</si>
  <si>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</si>
  <si>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</si>
  <si>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</si>
  <si>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</si>
  <si>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</si>
  <si>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</si>
  <si>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</si>
  <si>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</si>
  <si>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</si>
  <si>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</si>
  <si>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</si>
  <si>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</si>
  <si>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</si>
  <si>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</si>
  <si>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</si>
  <si>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</si>
  <si>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</si>
  <si>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</si>
  <si>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</si>
  <si>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</si>
  <si>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</si>
  <si>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VILLAGOMEZ</t>
  </si>
  <si>
    <t>VILLAPINZON</t>
  </si>
  <si>
    <t>VIOTA</t>
  </si>
  <si>
    <t>YACOPI</t>
  </si>
  <si>
    <t>ZIPACON</t>
  </si>
  <si>
    <t>ZIPAQUIRA</t>
  </si>
  <si>
    <t>ACANDI</t>
  </si>
  <si>
    <t>ALTO BAUDO (PIE DE PATO)</t>
  </si>
  <si>
    <t>ATRATO</t>
  </si>
  <si>
    <t>BAGADO</t>
  </si>
  <si>
    <t>BAHIA SOLANO (MUTIS)</t>
  </si>
  <si>
    <t>BAJO BAUDO (PIZARRO)</t>
  </si>
  <si>
    <t>LITORAL DEL  SAN JUAN</t>
  </si>
  <si>
    <t>BOJAYA (BELLAVISTA)</t>
  </si>
  <si>
    <t>CANTON DE SAN PABLO</t>
  </si>
  <si>
    <t>CARMEN DEL DARIÉN</t>
  </si>
  <si>
    <t>CÉRTEGUI</t>
  </si>
  <si>
    <t>CONDOTO</t>
  </si>
  <si>
    <t>EL CARMEN</t>
  </si>
  <si>
    <t>EL LITORAL DEL SAN JUAN</t>
  </si>
  <si>
    <t>JURADO</t>
  </si>
  <si>
    <t>LLORO</t>
  </si>
  <si>
    <t>MEDIO ATRATO</t>
  </si>
  <si>
    <t>MEDIO BAUDÓ</t>
  </si>
  <si>
    <t>MEDIO SAN JUAN</t>
  </si>
  <si>
    <t>NOVITA</t>
  </si>
  <si>
    <t>NUQUI</t>
  </si>
  <si>
    <t>RÍO IRÓ</t>
  </si>
  <si>
    <t>RÍO QUITO</t>
  </si>
  <si>
    <t>RIOSUCIO</t>
  </si>
  <si>
    <t>SAN JOSE DEL PALMAR</t>
  </si>
  <si>
    <t>SIPI</t>
  </si>
  <si>
    <t>UNGUIA</t>
  </si>
  <si>
    <t>UNIÓN PANAMERICANA</t>
  </si>
  <si>
    <t>ACEVEDO</t>
  </si>
  <si>
    <t>AGRADO</t>
  </si>
  <si>
    <t>AIPE</t>
  </si>
  <si>
    <t>ALTAMIRA</t>
  </si>
  <si>
    <t>BARAYA</t>
  </si>
  <si>
    <t>COLOMBIA</t>
  </si>
  <si>
    <t>ELIAS</t>
  </si>
  <si>
    <t>HOBO</t>
  </si>
  <si>
    <t>IQUIRA</t>
  </si>
  <si>
    <t>ISNOS</t>
  </si>
  <si>
    <t>LA ARGENTINA</t>
  </si>
  <si>
    <t>NATAGA</t>
  </si>
  <si>
    <t>NÁTAGA</t>
  </si>
  <si>
    <t>OPORAPA</t>
  </si>
  <si>
    <t>PAICOL</t>
  </si>
  <si>
    <t>PALERMO</t>
  </si>
  <si>
    <t>PITAL</t>
  </si>
  <si>
    <t>RIVERA</t>
  </si>
  <si>
    <t>SALADOBLANCO</t>
  </si>
  <si>
    <t>SUAZA</t>
  </si>
  <si>
    <t>TARQUI</t>
  </si>
  <si>
    <t>TERUEL</t>
  </si>
  <si>
    <t>TIMANA</t>
  </si>
  <si>
    <t>VILLAVIEJA</t>
  </si>
  <si>
    <t>YAGUARA</t>
  </si>
  <si>
    <t>DIBULLA</t>
  </si>
  <si>
    <t>DISTRACCIÓN</t>
  </si>
  <si>
    <t>HATONUEVO</t>
  </si>
  <si>
    <t>LA JAGUA DEL PILAR</t>
  </si>
  <si>
    <t>ALGARROBO</t>
  </si>
  <si>
    <t>ARIGUANI</t>
  </si>
  <si>
    <t>CERRO SAN ANTONIO</t>
  </si>
  <si>
    <t>CHIVOLO</t>
  </si>
  <si>
    <t>EL PI-ON</t>
  </si>
  <si>
    <t>EL RETÉN</t>
  </si>
  <si>
    <t>GUAMAL</t>
  </si>
  <si>
    <t>NUEVA GRANADA</t>
  </si>
  <si>
    <t>PEDRAZA</t>
  </si>
  <si>
    <t>PIJIÑO DEL CARMEN</t>
  </si>
  <si>
    <t>PUEBLOVIEJO</t>
  </si>
  <si>
    <t>REMOLINO</t>
  </si>
  <si>
    <t>SABANAS DE SAN ÁNGEL</t>
  </si>
  <si>
    <t>SALAMINA</t>
  </si>
  <si>
    <t>SAN SEBASTIAN DE BUENAVIS</t>
  </si>
  <si>
    <t>SAN ZENON</t>
  </si>
  <si>
    <t>SANTA ANA</t>
  </si>
  <si>
    <t>SANTA BÁRBARA DE PINTO</t>
  </si>
  <si>
    <t>SITIONUEVO</t>
  </si>
  <si>
    <t>ZAPAYÁN</t>
  </si>
  <si>
    <t>ZONA BANANERA</t>
  </si>
  <si>
    <t>BARRANCA DE UPIA</t>
  </si>
  <si>
    <t>CABUYARO</t>
  </si>
  <si>
    <t>CASTILLA LA NUEVA</t>
  </si>
  <si>
    <t>CUBARRAL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</si>
  <si>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</si>
  <si>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</si>
  <si>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</si>
  <si>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</si>
  <si>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</si>
  <si>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</si>
  <si>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</si>
  <si>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LA URIBE</t>
  </si>
  <si>
    <t>LEJANIAS</t>
  </si>
  <si>
    <t>PUERTO CONCORDIA</t>
  </si>
  <si>
    <t>PUERTO LLERAS</t>
  </si>
  <si>
    <t>SAN CARLOS GUAROA</t>
  </si>
  <si>
    <t>SAN JUAN DE ARAMA</t>
  </si>
  <si>
    <t>SAN JUANITO</t>
  </si>
  <si>
    <t>VISTA HERMOSA</t>
  </si>
  <si>
    <t>ALDA-A</t>
  </si>
  <si>
    <t>ARBOLEDA</t>
  </si>
  <si>
    <t>BARBACOAS</t>
  </si>
  <si>
    <t>BUESACO</t>
  </si>
  <si>
    <t>COLON(GENOVA)</t>
  </si>
  <si>
    <t>CONCASA</t>
  </si>
  <si>
    <t>CONTADERO</t>
  </si>
  <si>
    <t>CUASPUD</t>
  </si>
  <si>
    <t>CUMBAL</t>
  </si>
  <si>
    <t>CUMBITARA</t>
  </si>
  <si>
    <t>CHACHAGUI</t>
  </si>
  <si>
    <t>EL CHARCO</t>
  </si>
  <si>
    <t>EL PEÑOL</t>
  </si>
  <si>
    <t>EL ROSARIO</t>
  </si>
  <si>
    <t>EL TABLON</t>
  </si>
  <si>
    <t>FUNES</t>
  </si>
  <si>
    <t>GUACHUCAL</t>
  </si>
  <si>
    <t>GUAITARILLA</t>
  </si>
  <si>
    <t>GUALMATAN</t>
  </si>
  <si>
    <t>ILES</t>
  </si>
  <si>
    <t>IMUES</t>
  </si>
  <si>
    <t>LA FLORIDA</t>
  </si>
  <si>
    <t>LA LLANADA</t>
  </si>
  <si>
    <t>LA TOLA</t>
  </si>
  <si>
    <t>LEIVA</t>
  </si>
  <si>
    <t>LOS ANDES</t>
  </si>
  <si>
    <t>MAGUI</t>
  </si>
  <si>
    <t>MALLAMA</t>
  </si>
  <si>
    <t>NARIÑO</t>
  </si>
  <si>
    <t>OLAYA HERRERA</t>
  </si>
  <si>
    <t>OSPINA</t>
  </si>
  <si>
    <t>PIZARRO</t>
  </si>
  <si>
    <t>POLICARPA</t>
  </si>
  <si>
    <t>POTOSI</t>
  </si>
  <si>
    <t>PROVIDENCIA</t>
  </si>
  <si>
    <t>PUERRES</t>
  </si>
  <si>
    <t>ROBERTO PAYAN</t>
  </si>
  <si>
    <t>SAMANIEGO</t>
  </si>
  <si>
    <t>SANDONA</t>
  </si>
  <si>
    <t>SAN BERNARDO</t>
  </si>
  <si>
    <t>SAN LORENZO</t>
  </si>
  <si>
    <t>SAN PEDRO DE CARTAGO</t>
  </si>
  <si>
    <t>SANTACRUZ</t>
  </si>
  <si>
    <t>SAPUYES</t>
  </si>
  <si>
    <t>TAMINANGO</t>
  </si>
  <si>
    <t>TANGUA</t>
  </si>
  <si>
    <t>TUQUERRES</t>
  </si>
  <si>
    <t>YACUAQUER</t>
  </si>
  <si>
    <t>ABREGO</t>
  </si>
  <si>
    <t>ARBOLEDAS</t>
  </si>
  <si>
    <t>BOCHALEMA</t>
  </si>
  <si>
    <t>BUCARASICA</t>
  </si>
  <si>
    <t>CACOTA</t>
  </si>
  <si>
    <t>CONVENCION</t>
  </si>
  <si>
    <t>DURANIA</t>
  </si>
  <si>
    <t>EL TARRA</t>
  </si>
  <si>
    <t>HACARI</t>
  </si>
  <si>
    <t>HERRRAN</t>
  </si>
  <si>
    <t>LABATECA</t>
  </si>
  <si>
    <t>LA ESPERANZA</t>
  </si>
  <si>
    <t>LA PLAYA</t>
  </si>
  <si>
    <t>LOS PATIOS</t>
  </si>
  <si>
    <t>LOURDES</t>
  </si>
  <si>
    <t>MUTISCUA</t>
  </si>
  <si>
    <t>PAMPLONITA</t>
  </si>
  <si>
    <t>PUERTO SANTANDER</t>
  </si>
  <si>
    <t>REGONVALIA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</si>
  <si>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</si>
  <si>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</si>
  <si>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</si>
  <si>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</si>
  <si>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</si>
  <si>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</si>
  <si>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</si>
  <si>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VILLACARO</t>
  </si>
  <si>
    <t>VILLA DEL ROSARIO</t>
  </si>
  <si>
    <t>PIJAO</t>
  </si>
  <si>
    <t>BELEN DE UMBRIA</t>
  </si>
  <si>
    <t>PUEBLO RICO</t>
  </si>
  <si>
    <t>AGUADA</t>
  </si>
  <si>
    <t>ARATOCA</t>
  </si>
  <si>
    <t>BARICHARA</t>
  </si>
  <si>
    <t>CALIFORNIA</t>
  </si>
  <si>
    <t>CAPITANEJO</t>
  </si>
  <si>
    <t>CARCASI</t>
  </si>
  <si>
    <t>CEPITA</t>
  </si>
  <si>
    <t>CERRITO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</si>
  <si>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</si>
  <si>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</si>
  <si>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</si>
  <si>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</si>
  <si>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</si>
  <si>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</si>
  <si>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</si>
  <si>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</si>
  <si>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ENCINO</t>
  </si>
  <si>
    <t>ENCISO</t>
  </si>
  <si>
    <t>FLORIAN</t>
  </si>
  <si>
    <t>FLORIDABLANCA</t>
  </si>
  <si>
    <t>GALAN</t>
  </si>
  <si>
    <t>GAMBITA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</si>
  <si>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</si>
  <si>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</si>
  <si>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</si>
  <si>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</si>
  <si>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</si>
  <si>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</si>
  <si>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</si>
  <si>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</si>
  <si>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</si>
  <si>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LA PAZ</t>
  </si>
  <si>
    <t>LOS SANTOS</t>
  </si>
  <si>
    <t>MACARAVITA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</si>
  <si>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</si>
  <si>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</si>
  <si>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</si>
  <si>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</si>
  <si>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</si>
  <si>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</si>
  <si>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</si>
  <si>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</si>
  <si>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</si>
  <si>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PINCHOTE</t>
  </si>
  <si>
    <t>PUENTE NACIONAL</t>
  </si>
  <si>
    <t>PUERTO PARRA</t>
  </si>
  <si>
    <t>PUERTO WILCHES</t>
  </si>
  <si>
    <t>RIONEGRO</t>
  </si>
  <si>
    <t>SAN BENITO</t>
  </si>
  <si>
    <t>SAN JOAQUIN</t>
  </si>
  <si>
    <t>SAN JOSE DE MIRANDA</t>
  </si>
  <si>
    <t>SAN MIGUEL</t>
  </si>
  <si>
    <t>SANTA HELENA</t>
  </si>
  <si>
    <t>SIMICOTA</t>
  </si>
  <si>
    <t>SOCORRO</t>
  </si>
  <si>
    <t>SURATA</t>
  </si>
  <si>
    <t>TONA</t>
  </si>
  <si>
    <t>VALLE SAN JOSE</t>
  </si>
  <si>
    <t>VETAS</t>
  </si>
  <si>
    <t>VILLANUEVA</t>
  </si>
  <si>
    <t>CAIMITO</t>
  </si>
  <si>
    <t>COLOSO</t>
  </si>
  <si>
    <t>COVEÑAS</t>
  </si>
  <si>
    <t>CHALAN</t>
  </si>
  <si>
    <t>EL ROBLE</t>
  </si>
  <si>
    <t>GUARANDA</t>
  </si>
  <si>
    <t>MAJAGUAL</t>
  </si>
  <si>
    <t>MORROA</t>
  </si>
  <si>
    <t>PALMITO</t>
  </si>
  <si>
    <t>SAN BENITO ABAD</t>
  </si>
  <si>
    <t>SAN JUAN DE BETULIA</t>
  </si>
  <si>
    <t>TOLUVIEJO</t>
  </si>
  <si>
    <t>ALPUJARRA</t>
  </si>
  <si>
    <t>AMBALEMA</t>
  </si>
  <si>
    <t>CARMEN DE APICALA</t>
  </si>
  <si>
    <t>CASABIANCA</t>
  </si>
  <si>
    <t>COELLO</t>
  </si>
  <si>
    <t>COYAIMA</t>
  </si>
  <si>
    <t>CUNDAY</t>
  </si>
  <si>
    <t>FALAN</t>
  </si>
  <si>
    <t>FLANDES</t>
  </si>
  <si>
    <t>HERVEO</t>
  </si>
  <si>
    <t>HONDA</t>
  </si>
  <si>
    <t>ICONONZO</t>
  </si>
  <si>
    <t>LIBANO</t>
  </si>
  <si>
    <t>MELGAR</t>
  </si>
  <si>
    <t>MURILLO</t>
  </si>
  <si>
    <t>NATAGAIMA</t>
  </si>
  <si>
    <t>ORTEGA</t>
  </si>
  <si>
    <t>PALOCABILDO</t>
  </si>
  <si>
    <t>PIEDRA</t>
  </si>
  <si>
    <t>PLANADAS</t>
  </si>
  <si>
    <t>PRADO</t>
  </si>
  <si>
    <t>RIOBLANCO</t>
  </si>
  <si>
    <t>RONCESVALLES</t>
  </si>
  <si>
    <t>ROVIRA</t>
  </si>
  <si>
    <t>SALDA-A</t>
  </si>
  <si>
    <t>SAN ANTONIO</t>
  </si>
  <si>
    <t>SANTA ISABEL</t>
  </si>
  <si>
    <t>VALLE DE SAN JUAN</t>
  </si>
  <si>
    <t>VENADILLO</t>
  </si>
  <si>
    <t>VILLAHERMOSA</t>
  </si>
  <si>
    <t>VILLARRICA</t>
  </si>
  <si>
    <t>ANSERMANUEVO</t>
  </si>
  <si>
    <t>BUGALAGRANDE</t>
  </si>
  <si>
    <t>EL AGUILA</t>
  </si>
  <si>
    <t>EL CAIRO</t>
  </si>
  <si>
    <t>EL CERRITO</t>
  </si>
  <si>
    <t>FLORIDA</t>
  </si>
  <si>
    <t>GINEBRA</t>
  </si>
  <si>
    <t>LA CUMBRE</t>
  </si>
  <si>
    <t>OBANDO</t>
  </si>
  <si>
    <t>PRADERA</t>
  </si>
  <si>
    <t>RESTREPO</t>
  </si>
  <si>
    <t>RIOFRIO</t>
  </si>
  <si>
    <t>ROLDANILLO</t>
  </si>
  <si>
    <t>TORO</t>
  </si>
  <si>
    <t>TRUJILLO</t>
  </si>
  <si>
    <t>ULLOA</t>
  </si>
  <si>
    <t>VERSALLES</t>
  </si>
  <si>
    <t>VIJES</t>
  </si>
  <si>
    <t>YOTOCO</t>
  </si>
  <si>
    <t>ZARZAL</t>
  </si>
  <si>
    <t>ARAUQUITA</t>
  </si>
  <si>
    <t>CRAVO NORTE</t>
  </si>
  <si>
    <t>FORTUL</t>
  </si>
  <si>
    <t>SARAVENA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</si>
  <si>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</si>
  <si>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</si>
  <si>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</si>
  <si>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</si>
  <si>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</si>
  <si>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</si>
  <si>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</si>
  <si>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</si>
  <si>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</si>
  <si>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</si>
  <si>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</si>
  <si>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</si>
  <si>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</si>
  <si>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</si>
  <si>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</si>
  <si>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COLON</t>
  </si>
  <si>
    <t>ORITO</t>
  </si>
  <si>
    <t>PUERTO ASIS</t>
  </si>
  <si>
    <t>PUERTO CAICEDO</t>
  </si>
  <si>
    <t>PUERTO GUZMAN</t>
  </si>
  <si>
    <t>PUERTO LEGUIZAMO</t>
  </si>
  <si>
    <t>VALLE DEL GUAMUEZ</t>
  </si>
  <si>
    <t>EL ENCANTO</t>
  </si>
  <si>
    <t>LA CHORRERA</t>
  </si>
  <si>
    <t>LA PEDRERA</t>
  </si>
  <si>
    <t>MARITI-PARANA</t>
  </si>
  <si>
    <t>PUERTO NARI-O</t>
  </si>
  <si>
    <t>TARAPACA</t>
  </si>
  <si>
    <t>CALAMAR</t>
  </si>
  <si>
    <t>EL RETORNO</t>
  </si>
  <si>
    <t>LA PRIMAVERA</t>
  </si>
  <si>
    <t>SANTA RITA</t>
  </si>
  <si>
    <t>SANTA ROSALÍA</t>
  </si>
  <si>
    <t>SANTA ROSALIA</t>
  </si>
  <si>
    <t>SAN JOSE DE OCUNE</t>
  </si>
  <si>
    <t>CUMARIBO</t>
  </si>
  <si>
    <t>Municipio 1</t>
  </si>
  <si>
    <t>PUERTO ARICA</t>
  </si>
  <si>
    <t>PUERTO ALEGRIA</t>
  </si>
  <si>
    <t>LA PINTADA</t>
  </si>
  <si>
    <t>BARRANCO MINAS</t>
  </si>
  <si>
    <t>SAN FELIPE</t>
  </si>
  <si>
    <t>PUERTO COLOMBIA</t>
  </si>
  <si>
    <t>LA GUADALUPE</t>
  </si>
  <si>
    <t>CACAHUAL</t>
  </si>
  <si>
    <t>PANA PANA</t>
  </si>
  <si>
    <t>MORICHAL NUEVO</t>
  </si>
  <si>
    <t>CARURU</t>
  </si>
  <si>
    <t>PACOA</t>
  </si>
  <si>
    <t>TARAIRA</t>
  </si>
  <si>
    <t>PAPUNAUA</t>
  </si>
  <si>
    <t>YAVARATE</t>
  </si>
  <si>
    <t>ACARICUARA</t>
  </si>
  <si>
    <t>VILLA FATIMA</t>
  </si>
  <si>
    <t>Ciudades</t>
  </si>
  <si>
    <t>Hogares</t>
  </si>
  <si>
    <t>Interceptacion</t>
  </si>
  <si>
    <t>Localizacion central (Prueba de producto)</t>
  </si>
  <si>
    <t>Especializada</t>
  </si>
  <si>
    <t>Mystery Shopper</t>
  </si>
  <si>
    <t>Tracking</t>
  </si>
  <si>
    <t>Muestra cautiva(Autoaplicada)</t>
  </si>
  <si>
    <t>Lista de clientes (Campo presencial)</t>
  </si>
  <si>
    <t>Lista de clientes (Campo online)</t>
  </si>
  <si>
    <t>Lista de empleados (Campo online)</t>
  </si>
  <si>
    <t>Panel</t>
  </si>
  <si>
    <t>Localizacion central (Otros)</t>
  </si>
  <si>
    <t>Hogares (Prueba de producto)</t>
  </si>
  <si>
    <t>Código</t>
  </si>
  <si>
    <t>Metodología Estratos</t>
  </si>
  <si>
    <t>Metodología Dificultad</t>
  </si>
  <si>
    <t>Código DANE</t>
  </si>
  <si>
    <t>Muestra (cantidad)</t>
  </si>
  <si>
    <t>Nombre Municipio</t>
  </si>
  <si>
    <t>Departamento</t>
  </si>
  <si>
    <t>Número Propuesta</t>
  </si>
  <si>
    <t>Número Alternativa</t>
  </si>
  <si>
    <t>Fase</t>
  </si>
  <si>
    <t>Metodología</t>
  </si>
  <si>
    <t>IdFase</t>
  </si>
  <si>
    <t>DescFase</t>
  </si>
  <si>
    <t>Nacional</t>
  </si>
  <si>
    <t>Internacional</t>
  </si>
  <si>
    <t>Visita 1 / Segmento 1 / Medicion 1</t>
  </si>
  <si>
    <t>Visita 2 / Segmento 2 / Medicion 2</t>
  </si>
  <si>
    <t>Visita 3 / Segmento 3 / Medicion 3</t>
  </si>
  <si>
    <t>Visita 4 / Segmento 4 / Medicion 4</t>
  </si>
  <si>
    <t>Visita 5 / Segmento 5 / Medicion 5</t>
  </si>
  <si>
    <t>Visita 6 / Segmento 6 / Medicion 6</t>
  </si>
  <si>
    <t>Visita 7 / Segmento 7 / Medicion 7</t>
  </si>
  <si>
    <t>Visita 8 / Segmento 8 / Medicion 8</t>
  </si>
  <si>
    <t>Visita 9 / Segmento 9 / Medicion 9</t>
  </si>
  <si>
    <t>Visita 10 / Segmento 10 / Medicion 10</t>
  </si>
  <si>
    <t>Visita 11 / Segmento 11 / Medicion 11</t>
  </si>
  <si>
    <t>Visita 12 / Segmento 12 / Medicion 12</t>
  </si>
  <si>
    <t>Visita 13 / Segmento 13 / Medicion 13</t>
  </si>
  <si>
    <t>Visita 14 / Segmento 14 / Medicion 14</t>
  </si>
  <si>
    <t>Visita 15 / Segmento 15 / Medicion 15</t>
  </si>
  <si>
    <t>Subir muestra x NSE usando distribución poblacional</t>
  </si>
  <si>
    <t>Utlice esta hoja para subir la muestra por municipio utilizando la distribución poblacional. Diligencie toda la información del encabezado y posteriormente agregue todas las filas de muestra escribiendo el código DANE de cada municipio y la muestra total a agregar</t>
  </si>
  <si>
    <t>NSE 1,2,3</t>
  </si>
  <si>
    <t>NSE 4</t>
  </si>
  <si>
    <t>NSE 5</t>
  </si>
  <si>
    <t>Subir muestra x NSE</t>
  </si>
  <si>
    <t>Subir muestra x Dificultad</t>
  </si>
  <si>
    <t>Utlice esta hoja para subir la muestra por municipio escribiendo la muestra por dificultad. Diligencie toda la información del encabezado y posteriormente agregue todas las filas de muestra escribiendo el código DANE de cada municipio y la muestra por dificultad</t>
  </si>
  <si>
    <t>ALTA DIFICULTAD</t>
  </si>
  <si>
    <t>BAJA DIFICULTAD</t>
  </si>
  <si>
    <t>Utlice esta hoja para subir la muestra por municipio escribiendo la muestra para cada nivel socioeconómico. Diligencie toda la información del encabezado y posteriormente agregue todas las filas de muestra escribiendo el código DANE de cada municipio y la muestra a agregar por cada nivel socioeconómico</t>
  </si>
  <si>
    <t>SENTENCIAS</t>
  </si>
  <si>
    <t>Formato para carga de muestra a Matrix</t>
  </si>
  <si>
    <t>Por favor lea atentamente las instrucciones antes de continuar</t>
  </si>
  <si>
    <t>Versión 2022-09-22</t>
  </si>
  <si>
    <t>Este formato ha sido diseñado para facilitar el diligenciamiento de la muestra para los presupuestos en Matrix. Por favor siga las siguientes recomendaciones para garantizar el óptimo funcionamiento</t>
  </si>
  <si>
    <t>1. No intente cambiar la estructura del archivo, renombrar hojas, así como tampoco eliminar o insertar filas ya que esto puede generar inconsistencias en la carga de información</t>
  </si>
  <si>
    <t>2. La versión del archivo se encuentra en la parte superior derecha en verde, la cual servirá de referencia para cuando nuevas versiones o funcionalidades sean requeridas</t>
  </si>
  <si>
    <t>3. Existen tres hojas, las cuales tienen funcionalidades diferentes. Asegúrese de estar usando la correcta para que sus datos sean importados a Matrix correctamente</t>
  </si>
  <si>
    <t>4. Dentro de cada hoja están las descripciones de para qué sirve cada una. Su funcionamiento está ligado a la metodología la cual se encuentra restringida según el tipo de hoja a usar</t>
  </si>
  <si>
    <t>5. Las hojas en Excel tienen unos espacios en verde claro que indica qué celdas están habilitadas para cargar información. No intente cargar información de otro lugar</t>
  </si>
  <si>
    <t>6. Siempre tenga el código DANE de las ciudades que desea ingresar. Esto es fundalmental para incluir la información en Matrix</t>
  </si>
  <si>
    <t>7. Si requiere copiar desde un archivo diferente y pegar dentro de alguna de las hojas, procure usar siempre pegar como valores para garantizar la estructura del archivo</t>
  </si>
  <si>
    <t>8. Verifique que la información que está agregando es correcta. Incluir un número de propuesta incorrecta puede generar que la información no se suba, o peor aún, dañar un presupuesto que no sea el suyo. Por tanto, siempre haga doble chequeo de la información diligenciada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</si>
</sst>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1"/>
      <color rgb="FFFF0000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0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0" fillId="6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Protection="1">
      <protection hidden="1"/>
    </xf>
    <xf numFmtId="0" fontId="7" fillId="0" borderId="0" xfId="0" applyFont="1" applyProtection="1">
      <protection hidden="1"/>
    </xf>
    <xf numFmtId="0" fontId="4" fillId="0" borderId="0" xfId="1" applyAlignment="1">
      <alignment horizontal="center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0" fontId="9" fillId="0" borderId="0" xfId="0" applyFont="1"/>
    <xf numFmtId="0" fontId="3" fillId="2" borderId="0" xfId="2" applyBorder="1" applyAlignment="1">
      <alignment horizontal="left" wrapText="1"/>
    </xf>
    <xf numFmtId="0" fontId="4" fillId="0" borderId="0" xfId="1" applyAlignment="1">
      <alignment horizontal="center"/>
    </xf>
    <xf numFmtId="0" fontId="2" fillId="2" borderId="5" xfId="2" applyFont="1" applyBorder="1" applyAlignment="1">
      <alignment horizontal="left" wrapText="1"/>
    </xf>
    <xf numFmtId="0" fontId="3" fillId="2" borderId="6" xfId="2" applyBorder="1" applyAlignment="1">
      <alignment horizontal="left" wrapText="1"/>
    </xf>
    <xf numFmtId="0" fontId="3" fillId="2" borderId="7" xfId="2" applyBorder="1" applyAlignment="1">
      <alignment horizontal="left" wrapText="1"/>
    </xf>
    <xf numFmtId="0" fontId="3" fillId="2" borderId="8" xfId="2" applyBorder="1" applyAlignment="1">
      <alignment horizontal="left" wrapText="1"/>
    </xf>
    <xf numFmtId="0" fontId="3" fillId="2" borderId="9" xfId="2" applyBorder="1" applyAlignment="1">
      <alignment horizontal="left" wrapText="1"/>
    </xf>
    <xf numFmtId="0" fontId="3" fillId="2" borderId="10" xfId="2" applyBorder="1" applyAlignment="1">
      <alignment horizontal="left" wrapText="1"/>
    </xf>
    <xf numFmtId="0" fontId="8" fillId="0" borderId="0" xfId="0" applyFont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6" fillId="8" borderId="1" xfId="0" applyFont="1" applyFill="1" applyBorder="1" applyProtection="1">
      <protection locked="0"/>
    </xf>
    <xf numFmtId="0" fontId="6" fillId="8" borderId="2" xfId="0" applyFont="1" applyFill="1" applyBorder="1" applyProtection="1">
      <protection locked="0"/>
    </xf>
    <xf numFmtId="0" fontId="6" fillId="8" borderId="3" xfId="0" applyFont="1" applyFill="1" applyBorder="1" applyAlignment="1" applyProtection="1">
      <alignment horizontal="center"/>
      <protection locked="0"/>
    </xf>
    <xf numFmtId="0" fontId="6" fillId="8" borderId="11" xfId="0" applyFont="1" applyFill="1" applyBorder="1" applyAlignment="1" applyProtection="1">
      <alignment horizontal="center"/>
      <protection locked="0"/>
    </xf>
    <xf numFmtId="0" fontId="6" fillId="8" borderId="4" xfId="0" applyFont="1" applyFill="1" applyBorder="1" applyAlignment="1" applyProtection="1">
      <alignment horizontal="center"/>
      <protection locked="0"/>
    </xf>
    <xf numFmtId="0" fontId="0" fillId="8" borderId="12" xfId="0" applyFill="1" applyBorder="1" applyProtection="1">
      <protection locked="0"/>
    </xf>
    <xf numFmtId="0" fontId="0" fillId="7" borderId="12" xfId="0" applyFill="1" applyBorder="1" applyProtection="1">
      <protection hidden="1"/>
    </xf>
    <xf numFmtId="0" fontId="2" fillId="2" borderId="6" xfId="2" applyFont="1" applyBorder="1" applyAlignment="1">
      <alignment horizontal="left" wrapText="1"/>
    </xf>
    <xf numFmtId="0" fontId="2" fillId="2" borderId="7" xfId="2" applyFont="1" applyBorder="1" applyAlignment="1">
      <alignment horizontal="left" wrapText="1"/>
    </xf>
    <xf numFmtId="0" fontId="2" fillId="2" borderId="8" xfId="2" applyFont="1" applyBorder="1" applyAlignment="1">
      <alignment horizontal="left" wrapText="1"/>
    </xf>
    <xf numFmtId="0" fontId="2" fillId="2" borderId="9" xfId="2" applyFont="1" applyBorder="1" applyAlignment="1">
      <alignment horizontal="left" wrapText="1"/>
    </xf>
    <xf numFmtId="0" fontId="2" fillId="2" borderId="10" xfId="2" applyFont="1" applyBorder="1" applyAlignment="1">
      <alignment horizontal="left" wrapText="1"/>
    </xf>
    <xf numFmtId="0" fontId="11" fillId="3" borderId="0" xfId="3" applyFont="1" applyAlignment="1">
      <alignment horizontal="center"/>
    </xf>
    <xf numFmtId="0" fontId="12" fillId="5" borderId="0" xfId="5" applyFont="1" applyAlignment="1">
      <alignment horizontal="center"/>
    </xf>
    <xf numFmtId="0" fontId="10" fillId="6" borderId="0" xfId="6" applyAlignment="1">
      <alignment horizontal="center"/>
    </xf>
    <xf numFmtId="0" fontId="1" fillId="4" borderId="0" xfId="4"/>
    <xf numFmtId="0" fontId="13" fillId="4" borderId="0" xfId="4" applyFont="1" applyAlignment="1">
      <alignment horizontal="justify" vertical="center" wrapText="1"/>
    </xf>
  </cellXfs>
  <cellStyles count="7">
    <cellStyle name="20% - Énfasis1" xfId="2" builtinId="30"/>
    <cellStyle name="20% - Énfasis3" xfId="4" builtinId="38"/>
    <cellStyle name="40% - Énfasis5" xfId="5" builtinId="47"/>
    <cellStyle name="Énfasis1" xfId="3" builtinId="29"/>
    <cellStyle name="Énfasis6" xfId="6" builtinId="49"/>
    <cellStyle name="Normal" xfId="0" builtinId="0" customBuiltin="1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6E47-4644-4358-B3F1-210386DE01F0}">
  <dimension ref="D1:U39"/>
  <sheetViews>
    <sheetView showGridLines="0" showRowColHeaders="0" tabSelected="1" workbookViewId="0"/>
  </sheetViews>
  <sheetFormatPr baseColWidth="10" defaultRowHeight="12.75" x14ac:dyDescent="0.2"/>
  <sheetData>
    <row r="1" spans="4:21" ht="15" x14ac:dyDescent="0.25">
      <c r="S1" s="34" t="s">
        <v>1222</v>
      </c>
      <c r="T1" s="34"/>
      <c r="U1" s="34"/>
    </row>
    <row r="7" spans="4:21" x14ac:dyDescent="0.2">
      <c r="D7" s="32" t="s">
        <v>1220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4:21" x14ac:dyDescent="0.2"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spans="4:21" x14ac:dyDescent="0.2"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spans="4:21" x14ac:dyDescent="0.2"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4:21" x14ac:dyDescent="0.2"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  <row r="12" spans="4:21" x14ac:dyDescent="0.2"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4:21" x14ac:dyDescent="0.2"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4" spans="4:21" ht="15.75" x14ac:dyDescent="0.25">
      <c r="D14" s="33" t="s">
        <v>1221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</row>
    <row r="18" spans="4:20" ht="15" x14ac:dyDescent="0.25"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spans="4:20" ht="15" x14ac:dyDescent="0.25">
      <c r="D19" s="35"/>
      <c r="E19" s="35" t="s">
        <v>1223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spans="4:20" ht="15" x14ac:dyDescent="0.25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4:20" ht="20.100000000000001" customHeight="1" x14ac:dyDescent="0.25">
      <c r="D21" s="35"/>
      <c r="E21" s="36" t="s">
        <v>1224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5"/>
    </row>
    <row r="22" spans="4:20" ht="20.100000000000001" customHeight="1" x14ac:dyDescent="0.25">
      <c r="D22" s="35"/>
      <c r="E22" s="36" t="s">
        <v>1225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5"/>
    </row>
    <row r="23" spans="4:20" ht="20.100000000000001" customHeight="1" x14ac:dyDescent="0.25">
      <c r="D23" s="35"/>
      <c r="E23" s="36" t="s">
        <v>1226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5"/>
    </row>
    <row r="24" spans="4:20" ht="20.100000000000001" customHeight="1" x14ac:dyDescent="0.25">
      <c r="D24" s="35"/>
      <c r="E24" s="36" t="s">
        <v>1227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5"/>
    </row>
    <row r="25" spans="4:20" ht="20.100000000000001" customHeight="1" x14ac:dyDescent="0.25">
      <c r="D25" s="35"/>
      <c r="E25" s="36" t="s">
        <v>1228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5"/>
    </row>
    <row r="26" spans="4:20" ht="20.100000000000001" customHeight="1" x14ac:dyDescent="0.25">
      <c r="D26" s="35"/>
      <c r="E26" s="36" t="s">
        <v>1229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5"/>
    </row>
    <row r="27" spans="4:20" ht="20.100000000000001" customHeight="1" x14ac:dyDescent="0.25">
      <c r="D27" s="35"/>
      <c r="E27" s="36" t="s">
        <v>1230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5"/>
    </row>
    <row r="28" spans="4:20" ht="30" customHeight="1" x14ac:dyDescent="0.25">
      <c r="D28" s="35"/>
      <c r="E28" s="36" t="s">
        <v>1231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5"/>
    </row>
    <row r="29" spans="4:20" ht="15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 spans="4:20" ht="15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</row>
    <row r="31" spans="4:20" ht="15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</row>
    <row r="32" spans="4:20" ht="15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</row>
    <row r="33" spans="4:20" ht="15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 spans="4:20" ht="15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spans="4:20" ht="15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 spans="4:20" ht="15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</row>
    <row r="37" spans="4:20" ht="15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</row>
    <row r="38" spans="4:20" ht="15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</row>
    <row r="39" spans="4:20" ht="15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</row>
  </sheetData>
  <sheetProtection algorithmName="SHA-512" hashValue="4mYGRnc63V1kSZCq+rmveZrXE3Ymhqq6+Go9StoMYT1no4lhlm/cQ8JqeUeASYgr7aEG0LmORM9qE1rZI9uhnQ==" saltValue="8X1ECCqsOqbXFYXC3HX4Vw==" spinCount="100000" sheet="1" objects="1" scenarios="1"/>
  <mergeCells count="11">
    <mergeCell ref="E23:S23"/>
    <mergeCell ref="E24:S24"/>
    <mergeCell ref="E25:S25"/>
    <mergeCell ref="E26:S26"/>
    <mergeCell ref="E27:S27"/>
    <mergeCell ref="E28:S28"/>
    <mergeCell ref="D7:T13"/>
    <mergeCell ref="D14:T14"/>
    <mergeCell ref="S1:U1"/>
    <mergeCell ref="E21:S21"/>
    <mergeCell ref="E22:S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6ACE-6497-434C-81DA-7788DE6C8D32}">
  <dimension ref="A1:I264"/>
  <sheetViews>
    <sheetView showGridLines="0" workbookViewId="0">
      <selection sqref="A1:F1"/>
    </sheetView>
  </sheetViews>
  <sheetFormatPr baseColWidth="10" defaultColWidth="0" defaultRowHeight="12.75" zeroHeight="1" x14ac:dyDescent="0.2"/>
  <cols>
    <col min="1" max="1" width="23" customWidth="1"/>
    <col min="2" max="2" width="20.28515625" customWidth="1"/>
    <col min="3" max="3" width="26.28515625" customWidth="1"/>
    <col min="4" max="4" width="28.85546875" customWidth="1"/>
    <col min="5" max="5" width="32.42578125" bestFit="1" customWidth="1"/>
    <col min="6" max="6" width="2.7109375" customWidth="1"/>
    <col min="7" max="8" width="11.42578125" hidden="1" customWidth="1"/>
    <col min="9" max="9" width="2.7109375" hidden="1" customWidth="1"/>
    <col min="10" max="16384" width="11.42578125" hidden="1"/>
  </cols>
  <sheetData>
    <row r="1" spans="1:9" ht="23.25" x14ac:dyDescent="0.35">
      <c r="A1" s="11" t="s">
        <v>1208</v>
      </c>
      <c r="B1" s="11"/>
      <c r="C1" s="11"/>
      <c r="D1" s="11"/>
      <c r="E1" s="11"/>
      <c r="F1" s="11"/>
    </row>
    <row r="2" spans="1:9" ht="15" customHeight="1" x14ac:dyDescent="0.2">
      <c r="A2" s="12" t="s">
        <v>1209</v>
      </c>
      <c r="B2" s="27"/>
      <c r="C2" s="27"/>
      <c r="D2" s="27"/>
      <c r="E2" s="27"/>
      <c r="F2" s="28"/>
    </row>
    <row r="3" spans="1:9" ht="15" customHeight="1" x14ac:dyDescent="0.2">
      <c r="A3" s="29"/>
      <c r="B3" s="30"/>
      <c r="C3" s="30"/>
      <c r="D3" s="30"/>
      <c r="E3" s="30"/>
      <c r="F3" s="31"/>
    </row>
    <row r="4" spans="1:9" x14ac:dyDescent="0.2"/>
    <row r="5" spans="1:9" ht="14.25" x14ac:dyDescent="0.2">
      <c r="A5" s="18" t="str">
        <f>IF(SUM(F8:F257)&gt;0,"Hay uno o más errores. Corríjalos antes de subir el Excel","")</f>
        <v>Hay uno o más errores. Corríjalos antes de subir el Excel</v>
      </c>
      <c r="B5" s="18"/>
      <c r="C5" s="18"/>
      <c r="D5" s="18"/>
      <c r="E5" s="18"/>
      <c r="F5" s="18"/>
    </row>
    <row r="6" spans="1:9" x14ac:dyDescent="0.2"/>
    <row r="7" spans="1:9" ht="13.5" thickBot="1" x14ac:dyDescent="0.25"/>
    <row r="8" spans="1:9" ht="20.100000000000001" customHeight="1" thickBot="1" x14ac:dyDescent="0.3">
      <c r="A8" s="2" t="s">
        <v>1185</v>
      </c>
      <c r="C8" s="20"/>
      <c r="D8" s="3"/>
      <c r="E8" s="5" t="str">
        <f>IF(C8="","Debe escribir el número de propuesta","")</f>
        <v>Debe escribir el número de propuesta</v>
      </c>
      <c r="F8" s="8">
        <f>IF(NOT(E8=""),1,0)</f>
        <v>1</v>
      </c>
      <c r="I8" s="4">
        <f>IF(ISNUMBER(C8),C8,0)</f>
        <v>0</v>
      </c>
    </row>
    <row r="9" spans="1:9" ht="20.100000000000001" customHeight="1" thickBot="1" x14ac:dyDescent="0.3">
      <c r="A9" s="2" t="s">
        <v>1186</v>
      </c>
      <c r="C9" s="21"/>
      <c r="D9" s="3"/>
      <c r="E9" s="5" t="str">
        <f>IF(C9="","Debe escribir el número de alternativa","")</f>
        <v>Debe escribir el número de alternativa</v>
      </c>
      <c r="F9" s="8">
        <f t="shared" ref="F9:F11" si="0">IF(NOT(E9=""),1,0)</f>
        <v>1</v>
      </c>
      <c r="I9" s="4">
        <f>IF(ISNUMBER(C9),C9,0)</f>
        <v>0</v>
      </c>
    </row>
    <row r="10" spans="1:9" ht="20.100000000000001" customHeight="1" thickBot="1" x14ac:dyDescent="0.3">
      <c r="A10" s="2" t="s">
        <v>1188</v>
      </c>
      <c r="C10" s="22"/>
      <c r="D10" s="24"/>
      <c r="E10" s="5" t="str">
        <f>IF(C10="","Debe seleccionar la metodología","")</f>
        <v>Debe seleccionar la metodología</v>
      </c>
      <c r="F10" s="8">
        <f t="shared" si="0"/>
        <v>1</v>
      </c>
      <c r="I10" s="4" t="str">
        <f>IF(NOT(ISBLANK(C10)),VLOOKUP(C10,Listados!G2:H8,2,FALSE),"")</f>
        <v/>
      </c>
    </row>
    <row r="11" spans="1:9" ht="20.100000000000001" customHeight="1" thickBot="1" x14ac:dyDescent="0.3">
      <c r="A11" s="2" t="s">
        <v>1187</v>
      </c>
      <c r="C11" s="22"/>
      <c r="D11" s="24"/>
      <c r="E11" s="5" t="str">
        <f>IF(C11="","Debe seleccionar la fase","")</f>
        <v>Debe seleccionar la fase</v>
      </c>
      <c r="F11" s="8">
        <f t="shared" si="0"/>
        <v>1</v>
      </c>
      <c r="I11" s="4" t="str">
        <f>IF(NOT(ISBLANK(C11)),VLOOKUP(C11,Listados!G21:H37,2,FALSE),"")</f>
        <v/>
      </c>
    </row>
    <row r="12" spans="1:9" x14ac:dyDescent="0.2">
      <c r="C12" s="1"/>
      <c r="D12" s="1"/>
      <c r="F12" s="8"/>
    </row>
    <row r="13" spans="1:9" x14ac:dyDescent="0.2">
      <c r="F13" s="8"/>
    </row>
    <row r="14" spans="1:9" ht="15" x14ac:dyDescent="0.25">
      <c r="A14" s="2" t="s">
        <v>1181</v>
      </c>
      <c r="B14" s="2" t="s">
        <v>1182</v>
      </c>
      <c r="C14" s="2" t="s">
        <v>1183</v>
      </c>
      <c r="D14" s="2" t="s">
        <v>1184</v>
      </c>
      <c r="F14" s="8"/>
      <c r="I14" t="s">
        <v>1219</v>
      </c>
    </row>
    <row r="15" spans="1:9" x14ac:dyDescent="0.2">
      <c r="A15" s="25"/>
      <c r="B15" s="25"/>
      <c r="C15" s="26" t="str">
        <f>IF(NOT(ISBLANK(A15)),VLOOKUP(A15,Listados!$A$3:$D$1252,2,FALSE),"")</f>
        <v/>
      </c>
      <c r="D15" s="26" t="str">
        <f>IF(NOT(ISBLANK(A15)),VLOOKUP(A15,Listados!$A$3:$D$1252,4,FALSE),"")</f>
        <v/>
      </c>
      <c r="E15" s="5" t="str">
        <f>IF(ISERROR(C15),"El código de ciudad no es válido",IF(AND(NOT(ISNUMBER(B15)),NOT(A15="")),"Escriba la muestra para esta ciudad",""))</f>
        <v/>
      </c>
      <c r="F15" s="8">
        <f>IF(NOT(E15=""),1,0)</f>
        <v>0</v>
      </c>
      <c r="I15" s="4" t="str">
        <f>IF(AND(NOT(A15=""),ISNUMBER(B15)),"EXEC [dbo].[IQ_DistribuirMuestra_WORK] "&amp;A15&amp;", "&amp;B15&amp;", "&amp;$I$8&amp;", "&amp;$I$11&amp;", "&amp;$I$10&amp;", "&amp;$I$9&amp;";","")</f>
        <v/>
      </c>
    </row>
    <row r="16" spans="1:9" x14ac:dyDescent="0.2">
      <c r="A16" s="25"/>
      <c r="B16" s="25"/>
      <c r="C16" s="26" t="str">
        <f>IF(NOT(ISBLANK(A16)),VLOOKUP(A16,Listados!$A$3:$D$1252,2,FALSE),"")</f>
        <v/>
      </c>
      <c r="D16" s="26" t="str">
        <f>IF(NOT(ISBLANK(A16)),VLOOKUP(A16,Listados!$A$3:$D$1252,4,FALSE),"")</f>
        <v/>
      </c>
      <c r="E16" s="5" t="str">
        <f t="shared" ref="E16:E79" si="1">IF(ISERROR(C16),"El código de ciudad no es válido",IF(AND(NOT(ISNUMBER(B16)),NOT(A16="")),"Escriba la muestra para esta ciudad",""))</f>
        <v/>
      </c>
      <c r="F16" s="8">
        <f t="shared" ref="F16:F79" si="2">IF(NOT(E16=""),1,0)</f>
        <v>0</v>
      </c>
      <c r="I16" s="4" t="str">
        <f t="shared" ref="I16:I79" si="3">IF(AND(NOT(A16=""),ISNUMBER(B16)),"EXEC [dbo].[IQ_DistribuirMuestra_WORK] "&amp;A16&amp;", "&amp;B16&amp;", "&amp;$I$8&amp;", "&amp;$I$11&amp;", "&amp;$I$10&amp;", "&amp;$I$9&amp;";","")</f>
        <v/>
      </c>
    </row>
    <row r="17" spans="1:9" x14ac:dyDescent="0.2">
      <c r="A17" s="25"/>
      <c r="B17" s="25"/>
      <c r="C17" s="26" t="str">
        <f>IF(NOT(ISBLANK(A17)),VLOOKUP(A17,Listados!$A$3:$D$1252,2,FALSE),"")</f>
        <v/>
      </c>
      <c r="D17" s="26" t="str">
        <f>IF(NOT(ISBLANK(A17)),VLOOKUP(A17,Listados!$A$3:$D$1252,4,FALSE),"")</f>
        <v/>
      </c>
      <c r="E17" s="5" t="str">
        <f t="shared" si="1"/>
        <v/>
      </c>
      <c r="F17" s="8">
        <f t="shared" si="2"/>
        <v>0</v>
      </c>
      <c r="I17" s="4" t="str">
        <f t="shared" si="3"/>
        <v/>
      </c>
    </row>
    <row r="18" spans="1:9" x14ac:dyDescent="0.2">
      <c r="A18" s="25"/>
      <c r="B18" s="25"/>
      <c r="C18" s="26" t="str">
        <f>IF(NOT(ISBLANK(A18)),VLOOKUP(A18,Listados!$A$3:$D$1252,2,FALSE),"")</f>
        <v/>
      </c>
      <c r="D18" s="26" t="str">
        <f>IF(NOT(ISBLANK(A18)),VLOOKUP(A18,Listados!$A$3:$D$1252,4,FALSE),"")</f>
        <v/>
      </c>
      <c r="E18" s="5" t="str">
        <f t="shared" si="1"/>
        <v/>
      </c>
      <c r="F18" s="8">
        <f t="shared" si="2"/>
        <v>0</v>
      </c>
      <c r="I18" s="4" t="str">
        <f t="shared" si="3"/>
        <v/>
      </c>
    </row>
    <row r="19" spans="1:9" x14ac:dyDescent="0.2">
      <c r="A19" s="25"/>
      <c r="B19" s="25"/>
      <c r="C19" s="26" t="str">
        <f>IF(NOT(ISBLANK(A19)),VLOOKUP(A19,Listados!$A$3:$D$1252,2,FALSE),"")</f>
        <v/>
      </c>
      <c r="D19" s="26" t="str">
        <f>IF(NOT(ISBLANK(A19)),VLOOKUP(A19,Listados!$A$3:$D$1252,4,FALSE),"")</f>
        <v/>
      </c>
      <c r="E19" s="5" t="str">
        <f t="shared" si="1"/>
        <v/>
      </c>
      <c r="F19" s="8">
        <f t="shared" si="2"/>
        <v>0</v>
      </c>
      <c r="I19" s="4" t="str">
        <f t="shared" si="3"/>
        <v/>
      </c>
    </row>
    <row r="20" spans="1:9" x14ac:dyDescent="0.2">
      <c r="A20" s="25"/>
      <c r="B20" s="25"/>
      <c r="C20" s="26" t="str">
        <f>IF(NOT(ISBLANK(A20)),VLOOKUP(A20,Listados!$A$3:$D$1252,2,FALSE),"")</f>
        <v/>
      </c>
      <c r="D20" s="26" t="str">
        <f>IF(NOT(ISBLANK(A20)),VLOOKUP(A20,Listados!$A$3:$D$1252,4,FALSE),"")</f>
        <v/>
      </c>
      <c r="E20" s="5" t="str">
        <f t="shared" si="1"/>
        <v/>
      </c>
      <c r="F20" s="8">
        <f t="shared" si="2"/>
        <v>0</v>
      </c>
      <c r="I20" s="4" t="str">
        <f t="shared" si="3"/>
        <v/>
      </c>
    </row>
    <row r="21" spans="1:9" x14ac:dyDescent="0.2">
      <c r="A21" s="25"/>
      <c r="B21" s="25"/>
      <c r="C21" s="26" t="str">
        <f>IF(NOT(ISBLANK(A21)),VLOOKUP(A21,Listados!$A$3:$D$1252,2,FALSE),"")</f>
        <v/>
      </c>
      <c r="D21" s="26" t="str">
        <f>IF(NOT(ISBLANK(A21)),VLOOKUP(A21,Listados!$A$3:$D$1252,4,FALSE),"")</f>
        <v/>
      </c>
      <c r="E21" s="5" t="str">
        <f t="shared" si="1"/>
        <v/>
      </c>
      <c r="F21" s="8">
        <f t="shared" si="2"/>
        <v>0</v>
      </c>
      <c r="I21" s="4" t="str">
        <f t="shared" si="3"/>
        <v/>
      </c>
    </row>
    <row r="22" spans="1:9" x14ac:dyDescent="0.2">
      <c r="A22" s="25"/>
      <c r="B22" s="25"/>
      <c r="C22" s="26" t="str">
        <f>IF(NOT(ISBLANK(A22)),VLOOKUP(A22,Listados!$A$3:$D$1252,2,FALSE),"")</f>
        <v/>
      </c>
      <c r="D22" s="26" t="str">
        <f>IF(NOT(ISBLANK(A22)),VLOOKUP(A22,Listados!$A$3:$D$1252,4,FALSE),"")</f>
        <v/>
      </c>
      <c r="E22" s="5" t="str">
        <f t="shared" si="1"/>
        <v/>
      </c>
      <c r="F22" s="8">
        <f t="shared" si="2"/>
        <v>0</v>
      </c>
      <c r="I22" s="4" t="str">
        <f t="shared" si="3"/>
        <v/>
      </c>
    </row>
    <row r="23" spans="1:9" x14ac:dyDescent="0.2">
      <c r="A23" s="25"/>
      <c r="B23" s="25"/>
      <c r="C23" s="26" t="str">
        <f>IF(NOT(ISBLANK(A23)),VLOOKUP(A23,Listados!$A$3:$D$1252,2,FALSE),"")</f>
        <v/>
      </c>
      <c r="D23" s="26" t="str">
        <f>IF(NOT(ISBLANK(A23)),VLOOKUP(A23,Listados!$A$3:$D$1252,4,FALSE),"")</f>
        <v/>
      </c>
      <c r="E23" s="5" t="str">
        <f t="shared" si="1"/>
        <v/>
      </c>
      <c r="F23" s="8">
        <f t="shared" si="2"/>
        <v>0</v>
      </c>
      <c r="I23" s="4" t="str">
        <f t="shared" si="3"/>
        <v/>
      </c>
    </row>
    <row r="24" spans="1:9" x14ac:dyDescent="0.2">
      <c r="A24" s="25"/>
      <c r="B24" s="25"/>
      <c r="C24" s="26" t="str">
        <f>IF(NOT(ISBLANK(A24)),VLOOKUP(A24,Listados!$A$3:$D$1252,2,FALSE),"")</f>
        <v/>
      </c>
      <c r="D24" s="26" t="str">
        <f>IF(NOT(ISBLANK(A24)),VLOOKUP(A24,Listados!$A$3:$D$1252,4,FALSE),"")</f>
        <v/>
      </c>
      <c r="E24" s="5" t="str">
        <f t="shared" si="1"/>
        <v/>
      </c>
      <c r="F24" s="8">
        <f t="shared" si="2"/>
        <v>0</v>
      </c>
      <c r="I24" s="4" t="str">
        <f t="shared" si="3"/>
        <v/>
      </c>
    </row>
    <row r="25" spans="1:9" x14ac:dyDescent="0.2">
      <c r="A25" s="25"/>
      <c r="B25" s="25"/>
      <c r="C25" s="26" t="str">
        <f>IF(NOT(ISBLANK(A25)),VLOOKUP(A25,Listados!$A$3:$D$1252,2,FALSE),"")</f>
        <v/>
      </c>
      <c r="D25" s="26" t="str">
        <f>IF(NOT(ISBLANK(A25)),VLOOKUP(A25,Listados!$A$3:$D$1252,4,FALSE),"")</f>
        <v/>
      </c>
      <c r="E25" s="5" t="str">
        <f t="shared" si="1"/>
        <v/>
      </c>
      <c r="F25" s="8">
        <f t="shared" si="2"/>
        <v>0</v>
      </c>
      <c r="I25" s="4" t="str">
        <f t="shared" si="3"/>
        <v/>
      </c>
    </row>
    <row r="26" spans="1:9" x14ac:dyDescent="0.2">
      <c r="A26" s="25"/>
      <c r="B26" s="25"/>
      <c r="C26" s="26" t="str">
        <f>IF(NOT(ISBLANK(A26)),VLOOKUP(A26,Listados!$A$3:$D$1252,2,FALSE),"")</f>
        <v/>
      </c>
      <c r="D26" s="26" t="str">
        <f>IF(NOT(ISBLANK(A26)),VLOOKUP(A26,Listados!$A$3:$D$1252,4,FALSE),"")</f>
        <v/>
      </c>
      <c r="E26" s="5" t="str">
        <f t="shared" si="1"/>
        <v/>
      </c>
      <c r="F26" s="8">
        <f t="shared" si="2"/>
        <v>0</v>
      </c>
      <c r="I26" s="4" t="str">
        <f t="shared" si="3"/>
        <v/>
      </c>
    </row>
    <row r="27" spans="1:9" x14ac:dyDescent="0.2">
      <c r="A27" s="25"/>
      <c r="B27" s="25"/>
      <c r="C27" s="26" t="str">
        <f>IF(NOT(ISBLANK(A27)),VLOOKUP(A27,Listados!$A$3:$D$1252,2,FALSE),"")</f>
        <v/>
      </c>
      <c r="D27" s="26" t="str">
        <f>IF(NOT(ISBLANK(A27)),VLOOKUP(A27,Listados!$A$3:$D$1252,4,FALSE),"")</f>
        <v/>
      </c>
      <c r="E27" s="5" t="str">
        <f t="shared" si="1"/>
        <v/>
      </c>
      <c r="F27" s="8">
        <f t="shared" si="2"/>
        <v>0</v>
      </c>
      <c r="I27" s="4" t="str">
        <f t="shared" si="3"/>
        <v/>
      </c>
    </row>
    <row r="28" spans="1:9" x14ac:dyDescent="0.2">
      <c r="A28" s="25"/>
      <c r="B28" s="25"/>
      <c r="C28" s="26" t="str">
        <f>IF(NOT(ISBLANK(A28)),VLOOKUP(A28,Listados!$A$3:$D$1252,2,FALSE),"")</f>
        <v/>
      </c>
      <c r="D28" s="26" t="str">
        <f>IF(NOT(ISBLANK(A28)),VLOOKUP(A28,Listados!$A$3:$D$1252,4,FALSE),"")</f>
        <v/>
      </c>
      <c r="E28" s="5" t="str">
        <f t="shared" si="1"/>
        <v/>
      </c>
      <c r="F28" s="8">
        <f t="shared" si="2"/>
        <v>0</v>
      </c>
      <c r="I28" s="4" t="str">
        <f t="shared" si="3"/>
        <v/>
      </c>
    </row>
    <row r="29" spans="1:9" x14ac:dyDescent="0.2">
      <c r="A29" s="25"/>
      <c r="B29" s="25"/>
      <c r="C29" s="26" t="str">
        <f>IF(NOT(ISBLANK(A29)),VLOOKUP(A29,Listados!$A$3:$D$1252,2,FALSE),"")</f>
        <v/>
      </c>
      <c r="D29" s="26" t="str">
        <f>IF(NOT(ISBLANK(A29)),VLOOKUP(A29,Listados!$A$3:$D$1252,4,FALSE),"")</f>
        <v/>
      </c>
      <c r="E29" s="5" t="str">
        <f t="shared" si="1"/>
        <v/>
      </c>
      <c r="F29" s="8">
        <f t="shared" si="2"/>
        <v>0</v>
      </c>
      <c r="I29" s="4" t="str">
        <f t="shared" si="3"/>
        <v/>
      </c>
    </row>
    <row r="30" spans="1:9" x14ac:dyDescent="0.2">
      <c r="A30" s="25"/>
      <c r="B30" s="25"/>
      <c r="C30" s="26" t="str">
        <f>IF(NOT(ISBLANK(A30)),VLOOKUP(A30,Listados!$A$3:$D$1252,2,FALSE),"")</f>
        <v/>
      </c>
      <c r="D30" s="26" t="str">
        <f>IF(NOT(ISBLANK(A30)),VLOOKUP(A30,Listados!$A$3:$D$1252,4,FALSE),"")</f>
        <v/>
      </c>
      <c r="E30" s="5" t="str">
        <f t="shared" si="1"/>
        <v/>
      </c>
      <c r="F30" s="8">
        <f t="shared" si="2"/>
        <v>0</v>
      </c>
      <c r="I30" s="4" t="str">
        <f t="shared" si="3"/>
        <v/>
      </c>
    </row>
    <row r="31" spans="1:9" x14ac:dyDescent="0.2">
      <c r="A31" s="25"/>
      <c r="B31" s="25"/>
      <c r="C31" s="26" t="str">
        <f>IF(NOT(ISBLANK(A31)),VLOOKUP(A31,Listados!$A$3:$D$1252,2,FALSE),"")</f>
        <v/>
      </c>
      <c r="D31" s="26" t="str">
        <f>IF(NOT(ISBLANK(A31)),VLOOKUP(A31,Listados!$A$3:$D$1252,4,FALSE),"")</f>
        <v/>
      </c>
      <c r="E31" s="5" t="str">
        <f t="shared" si="1"/>
        <v/>
      </c>
      <c r="F31" s="8">
        <f t="shared" si="2"/>
        <v>0</v>
      </c>
      <c r="I31" s="4" t="str">
        <f t="shared" si="3"/>
        <v/>
      </c>
    </row>
    <row r="32" spans="1:9" x14ac:dyDescent="0.2">
      <c r="A32" s="25"/>
      <c r="B32" s="25"/>
      <c r="C32" s="26" t="str">
        <f>IF(NOT(ISBLANK(A32)),VLOOKUP(A32,Listados!$A$3:$D$1252,2,FALSE),"")</f>
        <v/>
      </c>
      <c r="D32" s="26" t="str">
        <f>IF(NOT(ISBLANK(A32)),VLOOKUP(A32,Listados!$A$3:$D$1252,4,FALSE),"")</f>
        <v/>
      </c>
      <c r="E32" s="5" t="str">
        <f t="shared" si="1"/>
        <v/>
      </c>
      <c r="F32" s="8">
        <f t="shared" si="2"/>
        <v>0</v>
      </c>
      <c r="I32" s="4" t="str">
        <f t="shared" si="3"/>
        <v/>
      </c>
    </row>
    <row r="33" spans="1:9" x14ac:dyDescent="0.2">
      <c r="A33" s="25"/>
      <c r="B33" s="25"/>
      <c r="C33" s="26" t="str">
        <f>IF(NOT(ISBLANK(A33)),VLOOKUP(A33,Listados!$A$3:$D$1252,2,FALSE),"")</f>
        <v/>
      </c>
      <c r="D33" s="26" t="str">
        <f>IF(NOT(ISBLANK(A33)),VLOOKUP(A33,Listados!$A$3:$D$1252,4,FALSE),"")</f>
        <v/>
      </c>
      <c r="E33" s="5" t="str">
        <f t="shared" si="1"/>
        <v/>
      </c>
      <c r="F33" s="8">
        <f t="shared" si="2"/>
        <v>0</v>
      </c>
      <c r="I33" s="4" t="str">
        <f t="shared" si="3"/>
        <v/>
      </c>
    </row>
    <row r="34" spans="1:9" x14ac:dyDescent="0.2">
      <c r="A34" s="25"/>
      <c r="B34" s="25"/>
      <c r="C34" s="26" t="str">
        <f>IF(NOT(ISBLANK(A34)),VLOOKUP(A34,Listados!$A$3:$D$1252,2,FALSE),"")</f>
        <v/>
      </c>
      <c r="D34" s="26" t="str">
        <f>IF(NOT(ISBLANK(A34)),VLOOKUP(A34,Listados!$A$3:$D$1252,4,FALSE),"")</f>
        <v/>
      </c>
      <c r="E34" s="5" t="str">
        <f t="shared" si="1"/>
        <v/>
      </c>
      <c r="F34" s="8">
        <f t="shared" si="2"/>
        <v>0</v>
      </c>
      <c r="I34" s="4" t="str">
        <f t="shared" si="3"/>
        <v/>
      </c>
    </row>
    <row r="35" spans="1:9" x14ac:dyDescent="0.2">
      <c r="A35" s="25"/>
      <c r="B35" s="25"/>
      <c r="C35" s="26" t="str">
        <f>IF(NOT(ISBLANK(A35)),VLOOKUP(A35,Listados!$A$3:$D$1252,2,FALSE),"")</f>
        <v/>
      </c>
      <c r="D35" s="26" t="str">
        <f>IF(NOT(ISBLANK(A35)),VLOOKUP(A35,Listados!$A$3:$D$1252,4,FALSE),"")</f>
        <v/>
      </c>
      <c r="E35" s="5" t="str">
        <f t="shared" si="1"/>
        <v/>
      </c>
      <c r="F35" s="8">
        <f t="shared" si="2"/>
        <v>0</v>
      </c>
      <c r="I35" s="4" t="str">
        <f t="shared" si="3"/>
        <v/>
      </c>
    </row>
    <row r="36" spans="1:9" x14ac:dyDescent="0.2">
      <c r="A36" s="25"/>
      <c r="B36" s="25"/>
      <c r="C36" s="26" t="str">
        <f>IF(NOT(ISBLANK(A36)),VLOOKUP(A36,Listados!$A$3:$D$1252,2,FALSE),"")</f>
        <v/>
      </c>
      <c r="D36" s="26" t="str">
        <f>IF(NOT(ISBLANK(A36)),VLOOKUP(A36,Listados!$A$3:$D$1252,4,FALSE),"")</f>
        <v/>
      </c>
      <c r="E36" s="5" t="str">
        <f t="shared" si="1"/>
        <v/>
      </c>
      <c r="F36" s="8">
        <f t="shared" si="2"/>
        <v>0</v>
      </c>
      <c r="I36" s="4" t="str">
        <f t="shared" si="3"/>
        <v/>
      </c>
    </row>
    <row r="37" spans="1:9" x14ac:dyDescent="0.2">
      <c r="A37" s="25"/>
      <c r="B37" s="25"/>
      <c r="C37" s="26" t="str">
        <f>IF(NOT(ISBLANK(A37)),VLOOKUP(A37,Listados!$A$3:$D$1252,2,FALSE),"")</f>
        <v/>
      </c>
      <c r="D37" s="26" t="str">
        <f>IF(NOT(ISBLANK(A37)),VLOOKUP(A37,Listados!$A$3:$D$1252,4,FALSE),"")</f>
        <v/>
      </c>
      <c r="E37" s="5" t="str">
        <f t="shared" si="1"/>
        <v/>
      </c>
      <c r="F37" s="8">
        <f t="shared" si="2"/>
        <v>0</v>
      </c>
      <c r="I37" s="4" t="str">
        <f t="shared" si="3"/>
        <v/>
      </c>
    </row>
    <row r="38" spans="1:9" x14ac:dyDescent="0.2">
      <c r="A38" s="25"/>
      <c r="B38" s="25"/>
      <c r="C38" s="26" t="str">
        <f>IF(NOT(ISBLANK(A38)),VLOOKUP(A38,Listados!$A$3:$D$1252,2,FALSE),"")</f>
        <v/>
      </c>
      <c r="D38" s="26" t="str">
        <f>IF(NOT(ISBLANK(A38)),VLOOKUP(A38,Listados!$A$3:$D$1252,4,FALSE),"")</f>
        <v/>
      </c>
      <c r="E38" s="5" t="str">
        <f t="shared" si="1"/>
        <v/>
      </c>
      <c r="F38" s="8">
        <f t="shared" si="2"/>
        <v>0</v>
      </c>
      <c r="I38" s="4" t="str">
        <f t="shared" si="3"/>
        <v/>
      </c>
    </row>
    <row r="39" spans="1:9" x14ac:dyDescent="0.2">
      <c r="A39" s="25"/>
      <c r="B39" s="25"/>
      <c r="C39" s="26" t="str">
        <f>IF(NOT(ISBLANK(A39)),VLOOKUP(A39,Listados!$A$3:$D$1252,2,FALSE),"")</f>
        <v/>
      </c>
      <c r="D39" s="26" t="str">
        <f>IF(NOT(ISBLANK(A39)),VLOOKUP(A39,Listados!$A$3:$D$1252,4,FALSE),"")</f>
        <v/>
      </c>
      <c r="E39" s="5" t="str">
        <f t="shared" si="1"/>
        <v/>
      </c>
      <c r="F39" s="8">
        <f t="shared" si="2"/>
        <v>0</v>
      </c>
      <c r="I39" s="4" t="str">
        <f t="shared" si="3"/>
        <v/>
      </c>
    </row>
    <row r="40" spans="1:9" x14ac:dyDescent="0.2">
      <c r="A40" s="25"/>
      <c r="B40" s="25"/>
      <c r="C40" s="26" t="str">
        <f>IF(NOT(ISBLANK(A40)),VLOOKUP(A40,Listados!$A$3:$D$1252,2,FALSE),"")</f>
        <v/>
      </c>
      <c r="D40" s="26" t="str">
        <f>IF(NOT(ISBLANK(A40)),VLOOKUP(A40,Listados!$A$3:$D$1252,4,FALSE),"")</f>
        <v/>
      </c>
      <c r="E40" s="5" t="str">
        <f t="shared" si="1"/>
        <v/>
      </c>
      <c r="F40" s="8">
        <f t="shared" si="2"/>
        <v>0</v>
      </c>
      <c r="I40" s="4" t="str">
        <f t="shared" si="3"/>
        <v/>
      </c>
    </row>
    <row r="41" spans="1:9" x14ac:dyDescent="0.2">
      <c r="A41" s="25"/>
      <c r="B41" s="25"/>
      <c r="C41" s="26" t="str">
        <f>IF(NOT(ISBLANK(A41)),VLOOKUP(A41,Listados!$A$3:$D$1252,2,FALSE),"")</f>
        <v/>
      </c>
      <c r="D41" s="26" t="str">
        <f>IF(NOT(ISBLANK(A41)),VLOOKUP(A41,Listados!$A$3:$D$1252,4,FALSE),"")</f>
        <v/>
      </c>
      <c r="E41" s="5" t="str">
        <f t="shared" si="1"/>
        <v/>
      </c>
      <c r="F41" s="8">
        <f t="shared" si="2"/>
        <v>0</v>
      </c>
      <c r="I41" s="4" t="str">
        <f t="shared" si="3"/>
        <v/>
      </c>
    </row>
    <row r="42" spans="1:9" x14ac:dyDescent="0.2">
      <c r="A42" s="25"/>
      <c r="B42" s="25"/>
      <c r="C42" s="26" t="str">
        <f>IF(NOT(ISBLANK(A42)),VLOOKUP(A42,Listados!$A$3:$D$1252,2,FALSE),"")</f>
        <v/>
      </c>
      <c r="D42" s="26" t="str">
        <f>IF(NOT(ISBLANK(A42)),VLOOKUP(A42,Listados!$A$3:$D$1252,4,FALSE),"")</f>
        <v/>
      </c>
      <c r="E42" s="5" t="str">
        <f t="shared" si="1"/>
        <v/>
      </c>
      <c r="F42" s="8">
        <f t="shared" si="2"/>
        <v>0</v>
      </c>
      <c r="I42" s="4" t="str">
        <f t="shared" si="3"/>
        <v/>
      </c>
    </row>
    <row r="43" spans="1:9" x14ac:dyDescent="0.2">
      <c r="A43" s="25"/>
      <c r="B43" s="25"/>
      <c r="C43" s="26" t="str">
        <f>IF(NOT(ISBLANK(A43)),VLOOKUP(A43,Listados!$A$3:$D$1252,2,FALSE),"")</f>
        <v/>
      </c>
      <c r="D43" s="26" t="str">
        <f>IF(NOT(ISBLANK(A43)),VLOOKUP(A43,Listados!$A$3:$D$1252,4,FALSE),"")</f>
        <v/>
      </c>
      <c r="E43" s="5" t="str">
        <f t="shared" si="1"/>
        <v/>
      </c>
      <c r="F43" s="8">
        <f t="shared" si="2"/>
        <v>0</v>
      </c>
      <c r="I43" s="4" t="str">
        <f t="shared" si="3"/>
        <v/>
      </c>
    </row>
    <row r="44" spans="1:9" x14ac:dyDescent="0.2">
      <c r="A44" s="25"/>
      <c r="B44" s="25"/>
      <c r="C44" s="26" t="str">
        <f>IF(NOT(ISBLANK(A44)),VLOOKUP(A44,Listados!$A$3:$D$1252,2,FALSE),"")</f>
        <v/>
      </c>
      <c r="D44" s="26" t="str">
        <f>IF(NOT(ISBLANK(A44)),VLOOKUP(A44,Listados!$A$3:$D$1252,4,FALSE),"")</f>
        <v/>
      </c>
      <c r="E44" s="5" t="str">
        <f t="shared" si="1"/>
        <v/>
      </c>
      <c r="F44" s="8">
        <f t="shared" si="2"/>
        <v>0</v>
      </c>
      <c r="I44" s="4" t="str">
        <f t="shared" si="3"/>
        <v/>
      </c>
    </row>
    <row r="45" spans="1:9" x14ac:dyDescent="0.2">
      <c r="A45" s="25"/>
      <c r="B45" s="25"/>
      <c r="C45" s="26" t="str">
        <f>IF(NOT(ISBLANK(A45)),VLOOKUP(A45,Listados!$A$3:$D$1252,2,FALSE),"")</f>
        <v/>
      </c>
      <c r="D45" s="26" t="str">
        <f>IF(NOT(ISBLANK(A45)),VLOOKUP(A45,Listados!$A$3:$D$1252,4,FALSE),"")</f>
        <v/>
      </c>
      <c r="E45" s="5" t="str">
        <f t="shared" si="1"/>
        <v/>
      </c>
      <c r="F45" s="8">
        <f t="shared" si="2"/>
        <v>0</v>
      </c>
      <c r="I45" s="4" t="str">
        <f t="shared" si="3"/>
        <v/>
      </c>
    </row>
    <row r="46" spans="1:9" x14ac:dyDescent="0.2">
      <c r="A46" s="25"/>
      <c r="B46" s="25"/>
      <c r="C46" s="26" t="str">
        <f>IF(NOT(ISBLANK(A46)),VLOOKUP(A46,Listados!$A$3:$D$1252,2,FALSE),"")</f>
        <v/>
      </c>
      <c r="D46" s="26" t="str">
        <f>IF(NOT(ISBLANK(A46)),VLOOKUP(A46,Listados!$A$3:$D$1252,4,FALSE),"")</f>
        <v/>
      </c>
      <c r="E46" s="5" t="str">
        <f t="shared" si="1"/>
        <v/>
      </c>
      <c r="F46" s="8">
        <f t="shared" si="2"/>
        <v>0</v>
      </c>
      <c r="I46" s="4" t="str">
        <f t="shared" si="3"/>
        <v/>
      </c>
    </row>
    <row r="47" spans="1:9" x14ac:dyDescent="0.2">
      <c r="A47" s="25"/>
      <c r="B47" s="25"/>
      <c r="C47" s="26" t="str">
        <f>IF(NOT(ISBLANK(A47)),VLOOKUP(A47,Listados!$A$3:$D$1252,2,FALSE),"")</f>
        <v/>
      </c>
      <c r="D47" s="26" t="str">
        <f>IF(NOT(ISBLANK(A47)),VLOOKUP(A47,Listados!$A$3:$D$1252,4,FALSE),"")</f>
        <v/>
      </c>
      <c r="E47" s="5" t="str">
        <f t="shared" si="1"/>
        <v/>
      </c>
      <c r="F47" s="8">
        <f t="shared" si="2"/>
        <v>0</v>
      </c>
      <c r="I47" s="4" t="str">
        <f t="shared" si="3"/>
        <v/>
      </c>
    </row>
    <row r="48" spans="1:9" x14ac:dyDescent="0.2">
      <c r="A48" s="25"/>
      <c r="B48" s="25"/>
      <c r="C48" s="26" t="str">
        <f>IF(NOT(ISBLANK(A48)),VLOOKUP(A48,Listados!$A$3:$D$1252,2,FALSE),"")</f>
        <v/>
      </c>
      <c r="D48" s="26" t="str">
        <f>IF(NOT(ISBLANK(A48)),VLOOKUP(A48,Listados!$A$3:$D$1252,4,FALSE),"")</f>
        <v/>
      </c>
      <c r="E48" s="5" t="str">
        <f t="shared" si="1"/>
        <v/>
      </c>
      <c r="F48" s="8">
        <f t="shared" si="2"/>
        <v>0</v>
      </c>
      <c r="I48" s="4" t="str">
        <f t="shared" si="3"/>
        <v/>
      </c>
    </row>
    <row r="49" spans="1:9" x14ac:dyDescent="0.2">
      <c r="A49" s="25"/>
      <c r="B49" s="25"/>
      <c r="C49" s="26" t="str">
        <f>IF(NOT(ISBLANK(A49)),VLOOKUP(A49,Listados!$A$3:$D$1252,2,FALSE),"")</f>
        <v/>
      </c>
      <c r="D49" s="26" t="str">
        <f>IF(NOT(ISBLANK(A49)),VLOOKUP(A49,Listados!$A$3:$D$1252,4,FALSE),"")</f>
        <v/>
      </c>
      <c r="E49" s="5" t="str">
        <f t="shared" si="1"/>
        <v/>
      </c>
      <c r="F49" s="8">
        <f t="shared" si="2"/>
        <v>0</v>
      </c>
      <c r="I49" s="4" t="str">
        <f t="shared" si="3"/>
        <v/>
      </c>
    </row>
    <row r="50" spans="1:9" x14ac:dyDescent="0.2">
      <c r="A50" s="25"/>
      <c r="B50" s="25"/>
      <c r="C50" s="26" t="str">
        <f>IF(NOT(ISBLANK(A50)),VLOOKUP(A50,Listados!$A$3:$D$1252,2,FALSE),"")</f>
        <v/>
      </c>
      <c r="D50" s="26" t="str">
        <f>IF(NOT(ISBLANK(A50)),VLOOKUP(A50,Listados!$A$3:$D$1252,4,FALSE),"")</f>
        <v/>
      </c>
      <c r="E50" s="5" t="str">
        <f t="shared" si="1"/>
        <v/>
      </c>
      <c r="F50" s="8">
        <f t="shared" si="2"/>
        <v>0</v>
      </c>
      <c r="I50" s="4" t="str">
        <f t="shared" si="3"/>
        <v/>
      </c>
    </row>
    <row r="51" spans="1:9" x14ac:dyDescent="0.2">
      <c r="A51" s="25"/>
      <c r="B51" s="25"/>
      <c r="C51" s="26" t="str">
        <f>IF(NOT(ISBLANK(A51)),VLOOKUP(A51,Listados!$A$3:$D$1252,2,FALSE),"")</f>
        <v/>
      </c>
      <c r="D51" s="26" t="str">
        <f>IF(NOT(ISBLANK(A51)),VLOOKUP(A51,Listados!$A$3:$D$1252,4,FALSE),"")</f>
        <v/>
      </c>
      <c r="E51" s="5" t="str">
        <f t="shared" si="1"/>
        <v/>
      </c>
      <c r="F51" s="8">
        <f t="shared" si="2"/>
        <v>0</v>
      </c>
      <c r="I51" s="4" t="str">
        <f t="shared" si="3"/>
        <v/>
      </c>
    </row>
    <row r="52" spans="1:9" x14ac:dyDescent="0.2">
      <c r="A52" s="25"/>
      <c r="B52" s="25"/>
      <c r="C52" s="26" t="str">
        <f>IF(NOT(ISBLANK(A52)),VLOOKUP(A52,Listados!$A$3:$D$1252,2,FALSE),"")</f>
        <v/>
      </c>
      <c r="D52" s="26" t="str">
        <f>IF(NOT(ISBLANK(A52)),VLOOKUP(A52,Listados!$A$3:$D$1252,4,FALSE),"")</f>
        <v/>
      </c>
      <c r="E52" s="5" t="str">
        <f t="shared" si="1"/>
        <v/>
      </c>
      <c r="F52" s="8">
        <f t="shared" si="2"/>
        <v>0</v>
      </c>
      <c r="I52" s="4" t="str">
        <f t="shared" si="3"/>
        <v/>
      </c>
    </row>
    <row r="53" spans="1:9" x14ac:dyDescent="0.2">
      <c r="A53" s="25"/>
      <c r="B53" s="25"/>
      <c r="C53" s="26" t="str">
        <f>IF(NOT(ISBLANK(A53)),VLOOKUP(A53,Listados!$A$3:$D$1252,2,FALSE),"")</f>
        <v/>
      </c>
      <c r="D53" s="26" t="str">
        <f>IF(NOT(ISBLANK(A53)),VLOOKUP(A53,Listados!$A$3:$D$1252,4,FALSE),"")</f>
        <v/>
      </c>
      <c r="E53" s="5" t="str">
        <f t="shared" si="1"/>
        <v/>
      </c>
      <c r="F53" s="8">
        <f t="shared" si="2"/>
        <v>0</v>
      </c>
      <c r="I53" s="4" t="str">
        <f t="shared" si="3"/>
        <v/>
      </c>
    </row>
    <row r="54" spans="1:9" x14ac:dyDescent="0.2">
      <c r="A54" s="25"/>
      <c r="B54" s="25"/>
      <c r="C54" s="26" t="str">
        <f>IF(NOT(ISBLANK(A54)),VLOOKUP(A54,Listados!$A$3:$D$1252,2,FALSE),"")</f>
        <v/>
      </c>
      <c r="D54" s="26" t="str">
        <f>IF(NOT(ISBLANK(A54)),VLOOKUP(A54,Listados!$A$3:$D$1252,4,FALSE),"")</f>
        <v/>
      </c>
      <c r="E54" s="5" t="str">
        <f t="shared" si="1"/>
        <v/>
      </c>
      <c r="F54" s="8">
        <f t="shared" si="2"/>
        <v>0</v>
      </c>
      <c r="I54" s="4" t="str">
        <f t="shared" si="3"/>
        <v/>
      </c>
    </row>
    <row r="55" spans="1:9" x14ac:dyDescent="0.2">
      <c r="A55" s="25"/>
      <c r="B55" s="25"/>
      <c r="C55" s="26" t="str">
        <f>IF(NOT(ISBLANK(A55)),VLOOKUP(A55,Listados!$A$3:$D$1252,2,FALSE),"")</f>
        <v/>
      </c>
      <c r="D55" s="26" t="str">
        <f>IF(NOT(ISBLANK(A55)),VLOOKUP(A55,Listados!$A$3:$D$1252,4,FALSE),"")</f>
        <v/>
      </c>
      <c r="E55" s="5" t="str">
        <f t="shared" si="1"/>
        <v/>
      </c>
      <c r="F55" s="8">
        <f t="shared" si="2"/>
        <v>0</v>
      </c>
      <c r="I55" s="4" t="str">
        <f t="shared" si="3"/>
        <v/>
      </c>
    </row>
    <row r="56" spans="1:9" x14ac:dyDescent="0.2">
      <c r="A56" s="25"/>
      <c r="B56" s="25"/>
      <c r="C56" s="26" t="str">
        <f>IF(NOT(ISBLANK(A56)),VLOOKUP(A56,Listados!$A$3:$D$1252,2,FALSE),"")</f>
        <v/>
      </c>
      <c r="D56" s="26" t="str">
        <f>IF(NOT(ISBLANK(A56)),VLOOKUP(A56,Listados!$A$3:$D$1252,4,FALSE),"")</f>
        <v/>
      </c>
      <c r="E56" s="5" t="str">
        <f t="shared" si="1"/>
        <v/>
      </c>
      <c r="F56" s="8">
        <f t="shared" si="2"/>
        <v>0</v>
      </c>
      <c r="I56" s="4" t="str">
        <f t="shared" si="3"/>
        <v/>
      </c>
    </row>
    <row r="57" spans="1:9" x14ac:dyDescent="0.2">
      <c r="A57" s="25"/>
      <c r="B57" s="25"/>
      <c r="C57" s="26" t="str">
        <f>IF(NOT(ISBLANK(A57)),VLOOKUP(A57,Listados!$A$3:$D$1252,2,FALSE),"")</f>
        <v/>
      </c>
      <c r="D57" s="26" t="str">
        <f>IF(NOT(ISBLANK(A57)),VLOOKUP(A57,Listados!$A$3:$D$1252,4,FALSE),"")</f>
        <v/>
      </c>
      <c r="E57" s="5" t="str">
        <f t="shared" si="1"/>
        <v/>
      </c>
      <c r="F57" s="8">
        <f t="shared" si="2"/>
        <v>0</v>
      </c>
      <c r="I57" s="4" t="str">
        <f t="shared" si="3"/>
        <v/>
      </c>
    </row>
    <row r="58" spans="1:9" x14ac:dyDescent="0.2">
      <c r="A58" s="25"/>
      <c r="B58" s="25"/>
      <c r="C58" s="26" t="str">
        <f>IF(NOT(ISBLANK(A58)),VLOOKUP(A58,Listados!$A$3:$D$1252,2,FALSE),"")</f>
        <v/>
      </c>
      <c r="D58" s="26" t="str">
        <f>IF(NOT(ISBLANK(A58)),VLOOKUP(A58,Listados!$A$3:$D$1252,4,FALSE),"")</f>
        <v/>
      </c>
      <c r="E58" s="5" t="str">
        <f t="shared" si="1"/>
        <v/>
      </c>
      <c r="F58" s="8">
        <f t="shared" si="2"/>
        <v>0</v>
      </c>
      <c r="I58" s="4" t="str">
        <f t="shared" si="3"/>
        <v/>
      </c>
    </row>
    <row r="59" spans="1:9" x14ac:dyDescent="0.2">
      <c r="A59" s="25"/>
      <c r="B59" s="25"/>
      <c r="C59" s="26" t="str">
        <f>IF(NOT(ISBLANK(A59)),VLOOKUP(A59,Listados!$A$3:$D$1252,2,FALSE),"")</f>
        <v/>
      </c>
      <c r="D59" s="26" t="str">
        <f>IF(NOT(ISBLANK(A59)),VLOOKUP(A59,Listados!$A$3:$D$1252,4,FALSE),"")</f>
        <v/>
      </c>
      <c r="E59" s="5" t="str">
        <f t="shared" si="1"/>
        <v/>
      </c>
      <c r="F59" s="8">
        <f t="shared" si="2"/>
        <v>0</v>
      </c>
      <c r="I59" s="4" t="str">
        <f t="shared" si="3"/>
        <v/>
      </c>
    </row>
    <row r="60" spans="1:9" x14ac:dyDescent="0.2">
      <c r="A60" s="25"/>
      <c r="B60" s="25"/>
      <c r="C60" s="26" t="str">
        <f>IF(NOT(ISBLANK(A60)),VLOOKUP(A60,Listados!$A$3:$D$1252,2,FALSE),"")</f>
        <v/>
      </c>
      <c r="D60" s="26" t="str">
        <f>IF(NOT(ISBLANK(A60)),VLOOKUP(A60,Listados!$A$3:$D$1252,4,FALSE),"")</f>
        <v/>
      </c>
      <c r="E60" s="5" t="str">
        <f t="shared" si="1"/>
        <v/>
      </c>
      <c r="F60" s="8">
        <f t="shared" si="2"/>
        <v>0</v>
      </c>
      <c r="I60" s="4" t="str">
        <f t="shared" si="3"/>
        <v/>
      </c>
    </row>
    <row r="61" spans="1:9" x14ac:dyDescent="0.2">
      <c r="A61" s="25"/>
      <c r="B61" s="25"/>
      <c r="C61" s="26" t="str">
        <f>IF(NOT(ISBLANK(A61)),VLOOKUP(A61,Listados!$A$3:$D$1252,2,FALSE),"")</f>
        <v/>
      </c>
      <c r="D61" s="26" t="str">
        <f>IF(NOT(ISBLANK(A61)),VLOOKUP(A61,Listados!$A$3:$D$1252,4,FALSE),"")</f>
        <v/>
      </c>
      <c r="E61" s="5" t="str">
        <f t="shared" si="1"/>
        <v/>
      </c>
      <c r="F61" s="8">
        <f t="shared" si="2"/>
        <v>0</v>
      </c>
      <c r="I61" s="4" t="str">
        <f t="shared" si="3"/>
        <v/>
      </c>
    </row>
    <row r="62" spans="1:9" x14ac:dyDescent="0.2">
      <c r="A62" s="25"/>
      <c r="B62" s="25"/>
      <c r="C62" s="26" t="str">
        <f>IF(NOT(ISBLANK(A62)),VLOOKUP(A62,Listados!$A$3:$D$1252,2,FALSE),"")</f>
        <v/>
      </c>
      <c r="D62" s="26" t="str">
        <f>IF(NOT(ISBLANK(A62)),VLOOKUP(A62,Listados!$A$3:$D$1252,4,FALSE),"")</f>
        <v/>
      </c>
      <c r="E62" s="5" t="str">
        <f t="shared" si="1"/>
        <v/>
      </c>
      <c r="F62" s="8">
        <f t="shared" si="2"/>
        <v>0</v>
      </c>
      <c r="I62" s="4" t="str">
        <f t="shared" si="3"/>
        <v/>
      </c>
    </row>
    <row r="63" spans="1:9" x14ac:dyDescent="0.2">
      <c r="A63" s="25"/>
      <c r="B63" s="25"/>
      <c r="C63" s="26" t="str">
        <f>IF(NOT(ISBLANK(A63)),VLOOKUP(A63,Listados!$A$3:$D$1252,2,FALSE),"")</f>
        <v/>
      </c>
      <c r="D63" s="26" t="str">
        <f>IF(NOT(ISBLANK(A63)),VLOOKUP(A63,Listados!$A$3:$D$1252,4,FALSE),"")</f>
        <v/>
      </c>
      <c r="E63" s="5" t="str">
        <f t="shared" si="1"/>
        <v/>
      </c>
      <c r="F63" s="8">
        <f t="shared" si="2"/>
        <v>0</v>
      </c>
      <c r="I63" s="4" t="str">
        <f t="shared" si="3"/>
        <v/>
      </c>
    </row>
    <row r="64" spans="1:9" x14ac:dyDescent="0.2">
      <c r="A64" s="25"/>
      <c r="B64" s="25"/>
      <c r="C64" s="26" t="str">
        <f>IF(NOT(ISBLANK(A64)),VLOOKUP(A64,Listados!$A$3:$D$1252,2,FALSE),"")</f>
        <v/>
      </c>
      <c r="D64" s="26" t="str">
        <f>IF(NOT(ISBLANK(A64)),VLOOKUP(A64,Listados!$A$3:$D$1252,4,FALSE),"")</f>
        <v/>
      </c>
      <c r="E64" s="5" t="str">
        <f t="shared" si="1"/>
        <v/>
      </c>
      <c r="F64" s="8">
        <f t="shared" si="2"/>
        <v>0</v>
      </c>
      <c r="I64" s="4" t="str">
        <f t="shared" si="3"/>
        <v/>
      </c>
    </row>
    <row r="65" spans="1:9" x14ac:dyDescent="0.2">
      <c r="A65" s="25"/>
      <c r="B65" s="25"/>
      <c r="C65" s="26" t="str">
        <f>IF(NOT(ISBLANK(A65)),VLOOKUP(A65,Listados!$A$3:$D$1252,2,FALSE),"")</f>
        <v/>
      </c>
      <c r="D65" s="26" t="str">
        <f>IF(NOT(ISBLANK(A65)),VLOOKUP(A65,Listados!$A$3:$D$1252,4,FALSE),"")</f>
        <v/>
      </c>
      <c r="E65" s="5" t="str">
        <f t="shared" si="1"/>
        <v/>
      </c>
      <c r="F65" s="8">
        <f t="shared" si="2"/>
        <v>0</v>
      </c>
      <c r="I65" s="4" t="str">
        <f t="shared" si="3"/>
        <v/>
      </c>
    </row>
    <row r="66" spans="1:9" x14ac:dyDescent="0.2">
      <c r="A66" s="25"/>
      <c r="B66" s="25"/>
      <c r="C66" s="26" t="str">
        <f>IF(NOT(ISBLANK(A66)),VLOOKUP(A66,Listados!$A$3:$D$1252,2,FALSE),"")</f>
        <v/>
      </c>
      <c r="D66" s="26" t="str">
        <f>IF(NOT(ISBLANK(A66)),VLOOKUP(A66,Listados!$A$3:$D$1252,4,FALSE),"")</f>
        <v/>
      </c>
      <c r="E66" s="5" t="str">
        <f t="shared" si="1"/>
        <v/>
      </c>
      <c r="F66" s="8">
        <f t="shared" si="2"/>
        <v>0</v>
      </c>
      <c r="I66" s="4" t="str">
        <f t="shared" si="3"/>
        <v/>
      </c>
    </row>
    <row r="67" spans="1:9" x14ac:dyDescent="0.2">
      <c r="A67" s="25"/>
      <c r="B67" s="25"/>
      <c r="C67" s="26" t="str">
        <f>IF(NOT(ISBLANK(A67)),VLOOKUP(A67,Listados!$A$3:$D$1252,2,FALSE),"")</f>
        <v/>
      </c>
      <c r="D67" s="26" t="str">
        <f>IF(NOT(ISBLANK(A67)),VLOOKUP(A67,Listados!$A$3:$D$1252,4,FALSE),"")</f>
        <v/>
      </c>
      <c r="E67" s="5" t="str">
        <f t="shared" si="1"/>
        <v/>
      </c>
      <c r="F67" s="8">
        <f t="shared" si="2"/>
        <v>0</v>
      </c>
      <c r="I67" s="4" t="str">
        <f t="shared" si="3"/>
        <v/>
      </c>
    </row>
    <row r="68" spans="1:9" x14ac:dyDescent="0.2">
      <c r="A68" s="25"/>
      <c r="B68" s="25"/>
      <c r="C68" s="26" t="str">
        <f>IF(NOT(ISBLANK(A68)),VLOOKUP(A68,Listados!$A$3:$D$1252,2,FALSE),"")</f>
        <v/>
      </c>
      <c r="D68" s="26" t="str">
        <f>IF(NOT(ISBLANK(A68)),VLOOKUP(A68,Listados!$A$3:$D$1252,4,FALSE),"")</f>
        <v/>
      </c>
      <c r="E68" s="5" t="str">
        <f t="shared" si="1"/>
        <v/>
      </c>
      <c r="F68" s="8">
        <f t="shared" si="2"/>
        <v>0</v>
      </c>
      <c r="I68" s="4" t="str">
        <f t="shared" si="3"/>
        <v/>
      </c>
    </row>
    <row r="69" spans="1:9" x14ac:dyDescent="0.2">
      <c r="A69" s="25"/>
      <c r="B69" s="25"/>
      <c r="C69" s="26" t="str">
        <f>IF(NOT(ISBLANK(A69)),VLOOKUP(A69,Listados!$A$3:$D$1252,2,FALSE),"")</f>
        <v/>
      </c>
      <c r="D69" s="26" t="str">
        <f>IF(NOT(ISBLANK(A69)),VLOOKUP(A69,Listados!$A$3:$D$1252,4,FALSE),"")</f>
        <v/>
      </c>
      <c r="E69" s="5" t="str">
        <f t="shared" si="1"/>
        <v/>
      </c>
      <c r="F69" s="8">
        <f t="shared" si="2"/>
        <v>0</v>
      </c>
      <c r="I69" s="4" t="str">
        <f t="shared" si="3"/>
        <v/>
      </c>
    </row>
    <row r="70" spans="1:9" x14ac:dyDescent="0.2">
      <c r="A70" s="25"/>
      <c r="B70" s="25"/>
      <c r="C70" s="26" t="str">
        <f>IF(NOT(ISBLANK(A70)),VLOOKUP(A70,Listados!$A$3:$D$1252,2,FALSE),"")</f>
        <v/>
      </c>
      <c r="D70" s="26" t="str">
        <f>IF(NOT(ISBLANK(A70)),VLOOKUP(A70,Listados!$A$3:$D$1252,4,FALSE),"")</f>
        <v/>
      </c>
      <c r="E70" s="5" t="str">
        <f t="shared" si="1"/>
        <v/>
      </c>
      <c r="F70" s="8">
        <f t="shared" si="2"/>
        <v>0</v>
      </c>
      <c r="I70" s="4" t="str">
        <f t="shared" si="3"/>
        <v/>
      </c>
    </row>
    <row r="71" spans="1:9" x14ac:dyDescent="0.2">
      <c r="A71" s="25"/>
      <c r="B71" s="25"/>
      <c r="C71" s="26" t="str">
        <f>IF(NOT(ISBLANK(A71)),VLOOKUP(A71,Listados!$A$3:$D$1252,2,FALSE),"")</f>
        <v/>
      </c>
      <c r="D71" s="26" t="str">
        <f>IF(NOT(ISBLANK(A71)),VLOOKUP(A71,Listados!$A$3:$D$1252,4,FALSE),"")</f>
        <v/>
      </c>
      <c r="E71" s="5" t="str">
        <f t="shared" si="1"/>
        <v/>
      </c>
      <c r="F71" s="8">
        <f t="shared" si="2"/>
        <v>0</v>
      </c>
      <c r="I71" s="4" t="str">
        <f t="shared" si="3"/>
        <v/>
      </c>
    </row>
    <row r="72" spans="1:9" x14ac:dyDescent="0.2">
      <c r="A72" s="25"/>
      <c r="B72" s="25"/>
      <c r="C72" s="26" t="str">
        <f>IF(NOT(ISBLANK(A72)),VLOOKUP(A72,Listados!$A$3:$D$1252,2,FALSE),"")</f>
        <v/>
      </c>
      <c r="D72" s="26" t="str">
        <f>IF(NOT(ISBLANK(A72)),VLOOKUP(A72,Listados!$A$3:$D$1252,4,FALSE),"")</f>
        <v/>
      </c>
      <c r="E72" s="5" t="str">
        <f t="shared" si="1"/>
        <v/>
      </c>
      <c r="F72" s="8">
        <f t="shared" si="2"/>
        <v>0</v>
      </c>
      <c r="I72" s="4" t="str">
        <f t="shared" si="3"/>
        <v/>
      </c>
    </row>
    <row r="73" spans="1:9" x14ac:dyDescent="0.2">
      <c r="A73" s="25"/>
      <c r="B73" s="25"/>
      <c r="C73" s="26" t="str">
        <f>IF(NOT(ISBLANK(A73)),VLOOKUP(A73,Listados!$A$3:$D$1252,2,FALSE),"")</f>
        <v/>
      </c>
      <c r="D73" s="26" t="str">
        <f>IF(NOT(ISBLANK(A73)),VLOOKUP(A73,Listados!$A$3:$D$1252,4,FALSE),"")</f>
        <v/>
      </c>
      <c r="E73" s="5" t="str">
        <f t="shared" si="1"/>
        <v/>
      </c>
      <c r="F73" s="8">
        <f t="shared" si="2"/>
        <v>0</v>
      </c>
      <c r="I73" s="4" t="str">
        <f t="shared" si="3"/>
        <v/>
      </c>
    </row>
    <row r="74" spans="1:9" x14ac:dyDescent="0.2">
      <c r="A74" s="25"/>
      <c r="B74" s="25"/>
      <c r="C74" s="26" t="str">
        <f>IF(NOT(ISBLANK(A74)),VLOOKUP(A74,Listados!$A$3:$D$1252,2,FALSE),"")</f>
        <v/>
      </c>
      <c r="D74" s="26" t="str">
        <f>IF(NOT(ISBLANK(A74)),VLOOKUP(A74,Listados!$A$3:$D$1252,4,FALSE),"")</f>
        <v/>
      </c>
      <c r="E74" s="5" t="str">
        <f t="shared" si="1"/>
        <v/>
      </c>
      <c r="F74" s="8">
        <f t="shared" si="2"/>
        <v>0</v>
      </c>
      <c r="I74" s="4" t="str">
        <f t="shared" si="3"/>
        <v/>
      </c>
    </row>
    <row r="75" spans="1:9" x14ac:dyDescent="0.2">
      <c r="A75" s="25"/>
      <c r="B75" s="25"/>
      <c r="C75" s="26" t="str">
        <f>IF(NOT(ISBLANK(A75)),VLOOKUP(A75,Listados!$A$3:$D$1252,2,FALSE),"")</f>
        <v/>
      </c>
      <c r="D75" s="26" t="str">
        <f>IF(NOT(ISBLANK(A75)),VLOOKUP(A75,Listados!$A$3:$D$1252,4,FALSE),"")</f>
        <v/>
      </c>
      <c r="E75" s="5" t="str">
        <f t="shared" si="1"/>
        <v/>
      </c>
      <c r="F75" s="8">
        <f t="shared" si="2"/>
        <v>0</v>
      </c>
      <c r="I75" s="4" t="str">
        <f t="shared" si="3"/>
        <v/>
      </c>
    </row>
    <row r="76" spans="1:9" x14ac:dyDescent="0.2">
      <c r="A76" s="25"/>
      <c r="B76" s="25"/>
      <c r="C76" s="26" t="str">
        <f>IF(NOT(ISBLANK(A76)),VLOOKUP(A76,Listados!$A$3:$D$1252,2,FALSE),"")</f>
        <v/>
      </c>
      <c r="D76" s="26" t="str">
        <f>IF(NOT(ISBLANK(A76)),VLOOKUP(A76,Listados!$A$3:$D$1252,4,FALSE),"")</f>
        <v/>
      </c>
      <c r="E76" s="5" t="str">
        <f t="shared" si="1"/>
        <v/>
      </c>
      <c r="F76" s="8">
        <f t="shared" si="2"/>
        <v>0</v>
      </c>
      <c r="I76" s="4" t="str">
        <f t="shared" si="3"/>
        <v/>
      </c>
    </row>
    <row r="77" spans="1:9" x14ac:dyDescent="0.2">
      <c r="A77" s="25"/>
      <c r="B77" s="25"/>
      <c r="C77" s="26" t="str">
        <f>IF(NOT(ISBLANK(A77)),VLOOKUP(A77,Listados!$A$3:$D$1252,2,FALSE),"")</f>
        <v/>
      </c>
      <c r="D77" s="26" t="str">
        <f>IF(NOT(ISBLANK(A77)),VLOOKUP(A77,Listados!$A$3:$D$1252,4,FALSE),"")</f>
        <v/>
      </c>
      <c r="E77" s="5" t="str">
        <f t="shared" si="1"/>
        <v/>
      </c>
      <c r="F77" s="8">
        <f t="shared" si="2"/>
        <v>0</v>
      </c>
      <c r="I77" s="4" t="str">
        <f t="shared" si="3"/>
        <v/>
      </c>
    </row>
    <row r="78" spans="1:9" x14ac:dyDescent="0.2">
      <c r="A78" s="25"/>
      <c r="B78" s="25"/>
      <c r="C78" s="26" t="str">
        <f>IF(NOT(ISBLANK(A78)),VLOOKUP(A78,Listados!$A$3:$D$1252,2,FALSE),"")</f>
        <v/>
      </c>
      <c r="D78" s="26" t="str">
        <f>IF(NOT(ISBLANK(A78)),VLOOKUP(A78,Listados!$A$3:$D$1252,4,FALSE),"")</f>
        <v/>
      </c>
      <c r="E78" s="5" t="str">
        <f t="shared" si="1"/>
        <v/>
      </c>
      <c r="F78" s="8">
        <f t="shared" si="2"/>
        <v>0</v>
      </c>
      <c r="I78" s="4" t="str">
        <f t="shared" si="3"/>
        <v/>
      </c>
    </row>
    <row r="79" spans="1:9" x14ac:dyDescent="0.2">
      <c r="A79" s="25"/>
      <c r="B79" s="25"/>
      <c r="C79" s="26" t="str">
        <f>IF(NOT(ISBLANK(A79)),VLOOKUP(A79,Listados!$A$3:$D$1252,2,FALSE),"")</f>
        <v/>
      </c>
      <c r="D79" s="26" t="str">
        <f>IF(NOT(ISBLANK(A79)),VLOOKUP(A79,Listados!$A$3:$D$1252,4,FALSE),"")</f>
        <v/>
      </c>
      <c r="E79" s="5" t="str">
        <f t="shared" si="1"/>
        <v/>
      </c>
      <c r="F79" s="8">
        <f t="shared" si="2"/>
        <v>0</v>
      </c>
      <c r="I79" s="4" t="str">
        <f t="shared" si="3"/>
        <v/>
      </c>
    </row>
    <row r="80" spans="1:9" x14ac:dyDescent="0.2">
      <c r="A80" s="25"/>
      <c r="B80" s="25"/>
      <c r="C80" s="26" t="str">
        <f>IF(NOT(ISBLANK(A80)),VLOOKUP(A80,Listados!$A$3:$D$1252,2,FALSE),"")</f>
        <v/>
      </c>
      <c r="D80" s="26" t="str">
        <f>IF(NOT(ISBLANK(A80)),VLOOKUP(A80,Listados!$A$3:$D$1252,4,FALSE),"")</f>
        <v/>
      </c>
      <c r="E80" s="5" t="str">
        <f t="shared" ref="E80:E143" si="4">IF(ISERROR(C80),"El código de ciudad no es válido",IF(AND(NOT(ISNUMBER(B80)),NOT(A80="")),"Escriba la muestra para esta ciudad",""))</f>
        <v/>
      </c>
      <c r="F80" s="8">
        <f t="shared" ref="F80:F143" si="5">IF(NOT(E80=""),1,0)</f>
        <v>0</v>
      </c>
      <c r="I80" s="4" t="str">
        <f t="shared" ref="I80:I143" si="6">IF(AND(NOT(A80=""),ISNUMBER(B80)),"EXEC [dbo].[IQ_DistribuirMuestra_WORK] "&amp;A80&amp;", "&amp;B80&amp;", "&amp;$I$8&amp;", "&amp;$I$11&amp;", "&amp;$I$10&amp;", "&amp;$I$9&amp;";","")</f>
        <v/>
      </c>
    </row>
    <row r="81" spans="1:9" x14ac:dyDescent="0.2">
      <c r="A81" s="25"/>
      <c r="B81" s="25"/>
      <c r="C81" s="26" t="str">
        <f>IF(NOT(ISBLANK(A81)),VLOOKUP(A81,Listados!$A$3:$D$1252,2,FALSE),"")</f>
        <v/>
      </c>
      <c r="D81" s="26" t="str">
        <f>IF(NOT(ISBLANK(A81)),VLOOKUP(A81,Listados!$A$3:$D$1252,4,FALSE),"")</f>
        <v/>
      </c>
      <c r="E81" s="5" t="str">
        <f t="shared" si="4"/>
        <v/>
      </c>
      <c r="F81" s="8">
        <f t="shared" si="5"/>
        <v>0</v>
      </c>
      <c r="I81" s="4" t="str">
        <f t="shared" si="6"/>
        <v/>
      </c>
    </row>
    <row r="82" spans="1:9" x14ac:dyDescent="0.2">
      <c r="A82" s="25"/>
      <c r="B82" s="25"/>
      <c r="C82" s="26" t="str">
        <f>IF(NOT(ISBLANK(A82)),VLOOKUP(A82,Listados!$A$3:$D$1252,2,FALSE),"")</f>
        <v/>
      </c>
      <c r="D82" s="26" t="str">
        <f>IF(NOT(ISBLANK(A82)),VLOOKUP(A82,Listados!$A$3:$D$1252,4,FALSE),"")</f>
        <v/>
      </c>
      <c r="E82" s="5" t="str">
        <f t="shared" si="4"/>
        <v/>
      </c>
      <c r="F82" s="8">
        <f t="shared" si="5"/>
        <v>0</v>
      </c>
      <c r="I82" s="4" t="str">
        <f t="shared" si="6"/>
        <v/>
      </c>
    </row>
    <row r="83" spans="1:9" x14ac:dyDescent="0.2">
      <c r="A83" s="25"/>
      <c r="B83" s="25"/>
      <c r="C83" s="26" t="str">
        <f>IF(NOT(ISBLANK(A83)),VLOOKUP(A83,Listados!$A$3:$D$1252,2,FALSE),"")</f>
        <v/>
      </c>
      <c r="D83" s="26" t="str">
        <f>IF(NOT(ISBLANK(A83)),VLOOKUP(A83,Listados!$A$3:$D$1252,4,FALSE),"")</f>
        <v/>
      </c>
      <c r="E83" s="5" t="str">
        <f t="shared" si="4"/>
        <v/>
      </c>
      <c r="F83" s="8">
        <f t="shared" si="5"/>
        <v>0</v>
      </c>
      <c r="I83" s="4" t="str">
        <f t="shared" si="6"/>
        <v/>
      </c>
    </row>
    <row r="84" spans="1:9" x14ac:dyDescent="0.2">
      <c r="A84" s="25"/>
      <c r="B84" s="25"/>
      <c r="C84" s="26" t="str">
        <f>IF(NOT(ISBLANK(A84)),VLOOKUP(A84,Listados!$A$3:$D$1252,2,FALSE),"")</f>
        <v/>
      </c>
      <c r="D84" s="26" t="str">
        <f>IF(NOT(ISBLANK(A84)),VLOOKUP(A84,Listados!$A$3:$D$1252,4,FALSE),"")</f>
        <v/>
      </c>
      <c r="E84" s="5" t="str">
        <f t="shared" si="4"/>
        <v/>
      </c>
      <c r="F84" s="8">
        <f t="shared" si="5"/>
        <v>0</v>
      </c>
      <c r="I84" s="4" t="str">
        <f t="shared" si="6"/>
        <v/>
      </c>
    </row>
    <row r="85" spans="1:9" x14ac:dyDescent="0.2">
      <c r="A85" s="25"/>
      <c r="B85" s="25"/>
      <c r="C85" s="26" t="str">
        <f>IF(NOT(ISBLANK(A85)),VLOOKUP(A85,Listados!$A$3:$D$1252,2,FALSE),"")</f>
        <v/>
      </c>
      <c r="D85" s="26" t="str">
        <f>IF(NOT(ISBLANK(A85)),VLOOKUP(A85,Listados!$A$3:$D$1252,4,FALSE),"")</f>
        <v/>
      </c>
      <c r="E85" s="5" t="str">
        <f t="shared" si="4"/>
        <v/>
      </c>
      <c r="F85" s="8">
        <f t="shared" si="5"/>
        <v>0</v>
      </c>
      <c r="I85" s="4" t="str">
        <f t="shared" si="6"/>
        <v/>
      </c>
    </row>
    <row r="86" spans="1:9" x14ac:dyDescent="0.2">
      <c r="A86" s="25"/>
      <c r="B86" s="25"/>
      <c r="C86" s="26" t="str">
        <f>IF(NOT(ISBLANK(A86)),VLOOKUP(A86,Listados!$A$3:$D$1252,2,FALSE),"")</f>
        <v/>
      </c>
      <c r="D86" s="26" t="str">
        <f>IF(NOT(ISBLANK(A86)),VLOOKUP(A86,Listados!$A$3:$D$1252,4,FALSE),"")</f>
        <v/>
      </c>
      <c r="E86" s="5" t="str">
        <f t="shared" si="4"/>
        <v/>
      </c>
      <c r="F86" s="8">
        <f t="shared" si="5"/>
        <v>0</v>
      </c>
      <c r="I86" s="4" t="str">
        <f t="shared" si="6"/>
        <v/>
      </c>
    </row>
    <row r="87" spans="1:9" x14ac:dyDescent="0.2">
      <c r="A87" s="25"/>
      <c r="B87" s="25"/>
      <c r="C87" s="26" t="str">
        <f>IF(NOT(ISBLANK(A87)),VLOOKUP(A87,Listados!$A$3:$D$1252,2,FALSE),"")</f>
        <v/>
      </c>
      <c r="D87" s="26" t="str">
        <f>IF(NOT(ISBLANK(A87)),VLOOKUP(A87,Listados!$A$3:$D$1252,4,FALSE),"")</f>
        <v/>
      </c>
      <c r="E87" s="5" t="str">
        <f t="shared" si="4"/>
        <v/>
      </c>
      <c r="F87" s="8">
        <f t="shared" si="5"/>
        <v>0</v>
      </c>
      <c r="I87" s="4" t="str">
        <f t="shared" si="6"/>
        <v/>
      </c>
    </row>
    <row r="88" spans="1:9" x14ac:dyDescent="0.2">
      <c r="A88" s="25"/>
      <c r="B88" s="25"/>
      <c r="C88" s="26" t="str">
        <f>IF(NOT(ISBLANK(A88)),VLOOKUP(A88,Listados!$A$3:$D$1252,2,FALSE),"")</f>
        <v/>
      </c>
      <c r="D88" s="26" t="str">
        <f>IF(NOT(ISBLANK(A88)),VLOOKUP(A88,Listados!$A$3:$D$1252,4,FALSE),"")</f>
        <v/>
      </c>
      <c r="E88" s="5" t="str">
        <f t="shared" si="4"/>
        <v/>
      </c>
      <c r="F88" s="8">
        <f t="shared" si="5"/>
        <v>0</v>
      </c>
      <c r="I88" s="4" t="str">
        <f t="shared" si="6"/>
        <v/>
      </c>
    </row>
    <row r="89" spans="1:9" x14ac:dyDescent="0.2">
      <c r="A89" s="25"/>
      <c r="B89" s="25"/>
      <c r="C89" s="26" t="str">
        <f>IF(NOT(ISBLANK(A89)),VLOOKUP(A89,Listados!$A$3:$D$1252,2,FALSE),"")</f>
        <v/>
      </c>
      <c r="D89" s="26" t="str">
        <f>IF(NOT(ISBLANK(A89)),VLOOKUP(A89,Listados!$A$3:$D$1252,4,FALSE),"")</f>
        <v/>
      </c>
      <c r="E89" s="5" t="str">
        <f t="shared" si="4"/>
        <v/>
      </c>
      <c r="F89" s="8">
        <f t="shared" si="5"/>
        <v>0</v>
      </c>
      <c r="I89" s="4" t="str">
        <f t="shared" si="6"/>
        <v/>
      </c>
    </row>
    <row r="90" spans="1:9" x14ac:dyDescent="0.2">
      <c r="A90" s="25"/>
      <c r="B90" s="25"/>
      <c r="C90" s="26" t="str">
        <f>IF(NOT(ISBLANK(A90)),VLOOKUP(A90,Listados!$A$3:$D$1252,2,FALSE),"")</f>
        <v/>
      </c>
      <c r="D90" s="26" t="str">
        <f>IF(NOT(ISBLANK(A90)),VLOOKUP(A90,Listados!$A$3:$D$1252,4,FALSE),"")</f>
        <v/>
      </c>
      <c r="E90" s="5" t="str">
        <f t="shared" si="4"/>
        <v/>
      </c>
      <c r="F90" s="8">
        <f t="shared" si="5"/>
        <v>0</v>
      </c>
      <c r="I90" s="4" t="str">
        <f t="shared" si="6"/>
        <v/>
      </c>
    </row>
    <row r="91" spans="1:9" x14ac:dyDescent="0.2">
      <c r="A91" s="25"/>
      <c r="B91" s="25"/>
      <c r="C91" s="26" t="str">
        <f>IF(NOT(ISBLANK(A91)),VLOOKUP(A91,Listados!$A$3:$D$1252,2,FALSE),"")</f>
        <v/>
      </c>
      <c r="D91" s="26" t="str">
        <f>IF(NOT(ISBLANK(A91)),VLOOKUP(A91,Listados!$A$3:$D$1252,4,FALSE),"")</f>
        <v/>
      </c>
      <c r="E91" s="5" t="str">
        <f t="shared" si="4"/>
        <v/>
      </c>
      <c r="F91" s="8">
        <f t="shared" si="5"/>
        <v>0</v>
      </c>
      <c r="I91" s="4" t="str">
        <f t="shared" si="6"/>
        <v/>
      </c>
    </row>
    <row r="92" spans="1:9" x14ac:dyDescent="0.2">
      <c r="A92" s="25"/>
      <c r="B92" s="25"/>
      <c r="C92" s="26" t="str">
        <f>IF(NOT(ISBLANK(A92)),VLOOKUP(A92,Listados!$A$3:$D$1252,2,FALSE),"")</f>
        <v/>
      </c>
      <c r="D92" s="26" t="str">
        <f>IF(NOT(ISBLANK(A92)),VLOOKUP(A92,Listados!$A$3:$D$1252,4,FALSE),"")</f>
        <v/>
      </c>
      <c r="E92" s="5" t="str">
        <f t="shared" si="4"/>
        <v/>
      </c>
      <c r="F92" s="8">
        <f t="shared" si="5"/>
        <v>0</v>
      </c>
      <c r="I92" s="4" t="str">
        <f t="shared" si="6"/>
        <v/>
      </c>
    </row>
    <row r="93" spans="1:9" x14ac:dyDescent="0.2">
      <c r="A93" s="25"/>
      <c r="B93" s="25"/>
      <c r="C93" s="26" t="str">
        <f>IF(NOT(ISBLANK(A93)),VLOOKUP(A93,Listados!$A$3:$D$1252,2,FALSE),"")</f>
        <v/>
      </c>
      <c r="D93" s="26" t="str">
        <f>IF(NOT(ISBLANK(A93)),VLOOKUP(A93,Listados!$A$3:$D$1252,4,FALSE),"")</f>
        <v/>
      </c>
      <c r="E93" s="5" t="str">
        <f t="shared" si="4"/>
        <v/>
      </c>
      <c r="F93" s="8">
        <f t="shared" si="5"/>
        <v>0</v>
      </c>
      <c r="I93" s="4" t="str">
        <f t="shared" si="6"/>
        <v/>
      </c>
    </row>
    <row r="94" spans="1:9" x14ac:dyDescent="0.2">
      <c r="A94" s="25"/>
      <c r="B94" s="25"/>
      <c r="C94" s="26" t="str">
        <f>IF(NOT(ISBLANK(A94)),VLOOKUP(A94,Listados!$A$3:$D$1252,2,FALSE),"")</f>
        <v/>
      </c>
      <c r="D94" s="26" t="str">
        <f>IF(NOT(ISBLANK(A94)),VLOOKUP(A94,Listados!$A$3:$D$1252,4,FALSE),"")</f>
        <v/>
      </c>
      <c r="E94" s="5" t="str">
        <f t="shared" si="4"/>
        <v/>
      </c>
      <c r="F94" s="8">
        <f t="shared" si="5"/>
        <v>0</v>
      </c>
      <c r="I94" s="4" t="str">
        <f t="shared" si="6"/>
        <v/>
      </c>
    </row>
    <row r="95" spans="1:9" x14ac:dyDescent="0.2">
      <c r="A95" s="25"/>
      <c r="B95" s="25"/>
      <c r="C95" s="26" t="str">
        <f>IF(NOT(ISBLANK(A95)),VLOOKUP(A95,Listados!$A$3:$D$1252,2,FALSE),"")</f>
        <v/>
      </c>
      <c r="D95" s="26" t="str">
        <f>IF(NOT(ISBLANK(A95)),VLOOKUP(A95,Listados!$A$3:$D$1252,4,FALSE),"")</f>
        <v/>
      </c>
      <c r="E95" s="5" t="str">
        <f t="shared" si="4"/>
        <v/>
      </c>
      <c r="F95" s="8">
        <f t="shared" si="5"/>
        <v>0</v>
      </c>
      <c r="I95" s="4" t="str">
        <f t="shared" si="6"/>
        <v/>
      </c>
    </row>
    <row r="96" spans="1:9" x14ac:dyDescent="0.2">
      <c r="A96" s="25"/>
      <c r="B96" s="25"/>
      <c r="C96" s="26" t="str">
        <f>IF(NOT(ISBLANK(A96)),VLOOKUP(A96,Listados!$A$3:$D$1252,2,FALSE),"")</f>
        <v/>
      </c>
      <c r="D96" s="26" t="str">
        <f>IF(NOT(ISBLANK(A96)),VLOOKUP(A96,Listados!$A$3:$D$1252,4,FALSE),"")</f>
        <v/>
      </c>
      <c r="E96" s="5" t="str">
        <f t="shared" si="4"/>
        <v/>
      </c>
      <c r="F96" s="8">
        <f t="shared" si="5"/>
        <v>0</v>
      </c>
      <c r="I96" s="4" t="str">
        <f t="shared" si="6"/>
        <v/>
      </c>
    </row>
    <row r="97" spans="1:9" x14ac:dyDescent="0.2">
      <c r="A97" s="25"/>
      <c r="B97" s="25"/>
      <c r="C97" s="26" t="str">
        <f>IF(NOT(ISBLANK(A97)),VLOOKUP(A97,Listados!$A$3:$D$1252,2,FALSE),"")</f>
        <v/>
      </c>
      <c r="D97" s="26" t="str">
        <f>IF(NOT(ISBLANK(A97)),VLOOKUP(A97,Listados!$A$3:$D$1252,4,FALSE),"")</f>
        <v/>
      </c>
      <c r="E97" s="5" t="str">
        <f t="shared" si="4"/>
        <v/>
      </c>
      <c r="F97" s="8">
        <f t="shared" si="5"/>
        <v>0</v>
      </c>
      <c r="I97" s="4" t="str">
        <f t="shared" si="6"/>
        <v/>
      </c>
    </row>
    <row r="98" spans="1:9" x14ac:dyDescent="0.2">
      <c r="A98" s="25"/>
      <c r="B98" s="25"/>
      <c r="C98" s="26" t="str">
        <f>IF(NOT(ISBLANK(A98)),VLOOKUP(A98,Listados!$A$3:$D$1252,2,FALSE),"")</f>
        <v/>
      </c>
      <c r="D98" s="26" t="str">
        <f>IF(NOT(ISBLANK(A98)),VLOOKUP(A98,Listados!$A$3:$D$1252,4,FALSE),"")</f>
        <v/>
      </c>
      <c r="E98" s="5" t="str">
        <f t="shared" si="4"/>
        <v/>
      </c>
      <c r="F98" s="8">
        <f t="shared" si="5"/>
        <v>0</v>
      </c>
      <c r="I98" s="4" t="str">
        <f t="shared" si="6"/>
        <v/>
      </c>
    </row>
    <row r="99" spans="1:9" x14ac:dyDescent="0.2">
      <c r="A99" s="25"/>
      <c r="B99" s="25"/>
      <c r="C99" s="26" t="str">
        <f>IF(NOT(ISBLANK(A99)),VLOOKUP(A99,Listados!$A$3:$D$1252,2,FALSE),"")</f>
        <v/>
      </c>
      <c r="D99" s="26" t="str">
        <f>IF(NOT(ISBLANK(A99)),VLOOKUP(A99,Listados!$A$3:$D$1252,4,FALSE),"")</f>
        <v/>
      </c>
      <c r="E99" s="5" t="str">
        <f t="shared" si="4"/>
        <v/>
      </c>
      <c r="F99" s="8">
        <f t="shared" si="5"/>
        <v>0</v>
      </c>
      <c r="I99" s="4" t="str">
        <f t="shared" si="6"/>
        <v/>
      </c>
    </row>
    <row r="100" spans="1:9" x14ac:dyDescent="0.2">
      <c r="A100" s="25"/>
      <c r="B100" s="25"/>
      <c r="C100" s="26" t="str">
        <f>IF(NOT(ISBLANK(A100)),VLOOKUP(A100,Listados!$A$3:$D$1252,2,FALSE),"")</f>
        <v/>
      </c>
      <c r="D100" s="26" t="str">
        <f>IF(NOT(ISBLANK(A100)),VLOOKUP(A100,Listados!$A$3:$D$1252,4,FALSE),"")</f>
        <v/>
      </c>
      <c r="E100" s="5" t="str">
        <f t="shared" si="4"/>
        <v/>
      </c>
      <c r="F100" s="8">
        <f t="shared" si="5"/>
        <v>0</v>
      </c>
      <c r="I100" s="4" t="str">
        <f t="shared" si="6"/>
        <v/>
      </c>
    </row>
    <row r="101" spans="1:9" x14ac:dyDescent="0.2">
      <c r="A101" s="25"/>
      <c r="B101" s="25"/>
      <c r="C101" s="26" t="str">
        <f>IF(NOT(ISBLANK(A101)),VLOOKUP(A101,Listados!$A$3:$D$1252,2,FALSE),"")</f>
        <v/>
      </c>
      <c r="D101" s="26" t="str">
        <f>IF(NOT(ISBLANK(A101)),VLOOKUP(A101,Listados!$A$3:$D$1252,4,FALSE),"")</f>
        <v/>
      </c>
      <c r="E101" s="5" t="str">
        <f t="shared" si="4"/>
        <v/>
      </c>
      <c r="F101" s="8">
        <f t="shared" si="5"/>
        <v>0</v>
      </c>
      <c r="I101" s="4" t="str">
        <f t="shared" si="6"/>
        <v/>
      </c>
    </row>
    <row r="102" spans="1:9" x14ac:dyDescent="0.2">
      <c r="A102" s="25"/>
      <c r="B102" s="25"/>
      <c r="C102" s="26" t="str">
        <f>IF(NOT(ISBLANK(A102)),VLOOKUP(A102,Listados!$A$3:$D$1252,2,FALSE),"")</f>
        <v/>
      </c>
      <c r="D102" s="26" t="str">
        <f>IF(NOT(ISBLANK(A102)),VLOOKUP(A102,Listados!$A$3:$D$1252,4,FALSE),"")</f>
        <v/>
      </c>
      <c r="E102" s="5" t="str">
        <f t="shared" si="4"/>
        <v/>
      </c>
      <c r="F102" s="8">
        <f t="shared" si="5"/>
        <v>0</v>
      </c>
      <c r="I102" s="4" t="str">
        <f t="shared" si="6"/>
        <v/>
      </c>
    </row>
    <row r="103" spans="1:9" x14ac:dyDescent="0.2">
      <c r="A103" s="25"/>
      <c r="B103" s="25"/>
      <c r="C103" s="26" t="str">
        <f>IF(NOT(ISBLANK(A103)),VLOOKUP(A103,Listados!$A$3:$D$1252,2,FALSE),"")</f>
        <v/>
      </c>
      <c r="D103" s="26" t="str">
        <f>IF(NOT(ISBLANK(A103)),VLOOKUP(A103,Listados!$A$3:$D$1252,4,FALSE),"")</f>
        <v/>
      </c>
      <c r="E103" s="5" t="str">
        <f t="shared" si="4"/>
        <v/>
      </c>
      <c r="F103" s="8">
        <f t="shared" si="5"/>
        <v>0</v>
      </c>
      <c r="I103" s="4" t="str">
        <f t="shared" si="6"/>
        <v/>
      </c>
    </row>
    <row r="104" spans="1:9" x14ac:dyDescent="0.2">
      <c r="A104" s="25"/>
      <c r="B104" s="25"/>
      <c r="C104" s="26" t="str">
        <f>IF(NOT(ISBLANK(A104)),VLOOKUP(A104,Listados!$A$3:$D$1252,2,FALSE),"")</f>
        <v/>
      </c>
      <c r="D104" s="26" t="str">
        <f>IF(NOT(ISBLANK(A104)),VLOOKUP(A104,Listados!$A$3:$D$1252,4,FALSE),"")</f>
        <v/>
      </c>
      <c r="E104" s="5" t="str">
        <f t="shared" si="4"/>
        <v/>
      </c>
      <c r="F104" s="8">
        <f t="shared" si="5"/>
        <v>0</v>
      </c>
      <c r="I104" s="4" t="str">
        <f t="shared" si="6"/>
        <v/>
      </c>
    </row>
    <row r="105" spans="1:9" x14ac:dyDescent="0.2">
      <c r="A105" s="25"/>
      <c r="B105" s="25"/>
      <c r="C105" s="26" t="str">
        <f>IF(NOT(ISBLANK(A105)),VLOOKUP(A105,Listados!$A$3:$D$1252,2,FALSE),"")</f>
        <v/>
      </c>
      <c r="D105" s="26" t="str">
        <f>IF(NOT(ISBLANK(A105)),VLOOKUP(A105,Listados!$A$3:$D$1252,4,FALSE),"")</f>
        <v/>
      </c>
      <c r="E105" s="5" t="str">
        <f t="shared" si="4"/>
        <v/>
      </c>
      <c r="F105" s="8">
        <f t="shared" si="5"/>
        <v>0</v>
      </c>
      <c r="I105" s="4" t="str">
        <f t="shared" si="6"/>
        <v/>
      </c>
    </row>
    <row r="106" spans="1:9" x14ac:dyDescent="0.2">
      <c r="A106" s="25"/>
      <c r="B106" s="25"/>
      <c r="C106" s="26" t="str">
        <f>IF(NOT(ISBLANK(A106)),VLOOKUP(A106,Listados!$A$3:$D$1252,2,FALSE),"")</f>
        <v/>
      </c>
      <c r="D106" s="26" t="str">
        <f>IF(NOT(ISBLANK(A106)),VLOOKUP(A106,Listados!$A$3:$D$1252,4,FALSE),"")</f>
        <v/>
      </c>
      <c r="E106" s="5" t="str">
        <f t="shared" si="4"/>
        <v/>
      </c>
      <c r="F106" s="8">
        <f t="shared" si="5"/>
        <v>0</v>
      </c>
      <c r="I106" s="4" t="str">
        <f t="shared" si="6"/>
        <v/>
      </c>
    </row>
    <row r="107" spans="1:9" x14ac:dyDescent="0.2">
      <c r="A107" s="25"/>
      <c r="B107" s="25"/>
      <c r="C107" s="26" t="str">
        <f>IF(NOT(ISBLANK(A107)),VLOOKUP(A107,Listados!$A$3:$D$1252,2,FALSE),"")</f>
        <v/>
      </c>
      <c r="D107" s="26" t="str">
        <f>IF(NOT(ISBLANK(A107)),VLOOKUP(A107,Listados!$A$3:$D$1252,4,FALSE),"")</f>
        <v/>
      </c>
      <c r="E107" s="5" t="str">
        <f t="shared" si="4"/>
        <v/>
      </c>
      <c r="F107" s="8">
        <f t="shared" si="5"/>
        <v>0</v>
      </c>
      <c r="I107" s="4" t="str">
        <f t="shared" si="6"/>
        <v/>
      </c>
    </row>
    <row r="108" spans="1:9" x14ac:dyDescent="0.2">
      <c r="A108" s="25"/>
      <c r="B108" s="25"/>
      <c r="C108" s="26" t="str">
        <f>IF(NOT(ISBLANK(A108)),VLOOKUP(A108,Listados!$A$3:$D$1252,2,FALSE),"")</f>
        <v/>
      </c>
      <c r="D108" s="26" t="str">
        <f>IF(NOT(ISBLANK(A108)),VLOOKUP(A108,Listados!$A$3:$D$1252,4,FALSE),"")</f>
        <v/>
      </c>
      <c r="E108" s="5" t="str">
        <f t="shared" si="4"/>
        <v/>
      </c>
      <c r="F108" s="8">
        <f t="shared" si="5"/>
        <v>0</v>
      </c>
      <c r="I108" s="4" t="str">
        <f t="shared" si="6"/>
        <v/>
      </c>
    </row>
    <row r="109" spans="1:9" x14ac:dyDescent="0.2">
      <c r="A109" s="25"/>
      <c r="B109" s="25"/>
      <c r="C109" s="26" t="str">
        <f>IF(NOT(ISBLANK(A109)),VLOOKUP(A109,Listados!$A$3:$D$1252,2,FALSE),"")</f>
        <v/>
      </c>
      <c r="D109" s="26" t="str">
        <f>IF(NOT(ISBLANK(A109)),VLOOKUP(A109,Listados!$A$3:$D$1252,4,FALSE),"")</f>
        <v/>
      </c>
      <c r="E109" s="5" t="str">
        <f t="shared" si="4"/>
        <v/>
      </c>
      <c r="F109" s="8">
        <f t="shared" si="5"/>
        <v>0</v>
      </c>
      <c r="I109" s="4" t="str">
        <f t="shared" si="6"/>
        <v/>
      </c>
    </row>
    <row r="110" spans="1:9" x14ac:dyDescent="0.2">
      <c r="A110" s="25"/>
      <c r="B110" s="25"/>
      <c r="C110" s="26" t="str">
        <f>IF(NOT(ISBLANK(A110)),VLOOKUP(A110,Listados!$A$3:$D$1252,2,FALSE),"")</f>
        <v/>
      </c>
      <c r="D110" s="26" t="str">
        <f>IF(NOT(ISBLANK(A110)),VLOOKUP(A110,Listados!$A$3:$D$1252,4,FALSE),"")</f>
        <v/>
      </c>
      <c r="E110" s="5" t="str">
        <f t="shared" si="4"/>
        <v/>
      </c>
      <c r="F110" s="8">
        <f t="shared" si="5"/>
        <v>0</v>
      </c>
      <c r="I110" s="4" t="str">
        <f t="shared" si="6"/>
        <v/>
      </c>
    </row>
    <row r="111" spans="1:9" x14ac:dyDescent="0.2">
      <c r="A111" s="25"/>
      <c r="B111" s="25"/>
      <c r="C111" s="26" t="str">
        <f>IF(NOT(ISBLANK(A111)),VLOOKUP(A111,Listados!$A$3:$D$1252,2,FALSE),"")</f>
        <v/>
      </c>
      <c r="D111" s="26" t="str">
        <f>IF(NOT(ISBLANK(A111)),VLOOKUP(A111,Listados!$A$3:$D$1252,4,FALSE),"")</f>
        <v/>
      </c>
      <c r="E111" s="5" t="str">
        <f t="shared" si="4"/>
        <v/>
      </c>
      <c r="F111" s="8">
        <f t="shared" si="5"/>
        <v>0</v>
      </c>
      <c r="I111" s="4" t="str">
        <f t="shared" si="6"/>
        <v/>
      </c>
    </row>
    <row r="112" spans="1:9" x14ac:dyDescent="0.2">
      <c r="A112" s="25"/>
      <c r="B112" s="25"/>
      <c r="C112" s="26" t="str">
        <f>IF(NOT(ISBLANK(A112)),VLOOKUP(A112,Listados!$A$3:$D$1252,2,FALSE),"")</f>
        <v/>
      </c>
      <c r="D112" s="26" t="str">
        <f>IF(NOT(ISBLANK(A112)),VLOOKUP(A112,Listados!$A$3:$D$1252,4,FALSE),"")</f>
        <v/>
      </c>
      <c r="E112" s="5" t="str">
        <f t="shared" si="4"/>
        <v/>
      </c>
      <c r="F112" s="8">
        <f t="shared" si="5"/>
        <v>0</v>
      </c>
      <c r="I112" s="4" t="str">
        <f t="shared" si="6"/>
        <v/>
      </c>
    </row>
    <row r="113" spans="1:9" x14ac:dyDescent="0.2">
      <c r="A113" s="25"/>
      <c r="B113" s="25"/>
      <c r="C113" s="26" t="str">
        <f>IF(NOT(ISBLANK(A113)),VLOOKUP(A113,Listados!$A$3:$D$1252,2,FALSE),"")</f>
        <v/>
      </c>
      <c r="D113" s="26" t="str">
        <f>IF(NOT(ISBLANK(A113)),VLOOKUP(A113,Listados!$A$3:$D$1252,4,FALSE),"")</f>
        <v/>
      </c>
      <c r="E113" s="5" t="str">
        <f t="shared" si="4"/>
        <v/>
      </c>
      <c r="F113" s="8">
        <f t="shared" si="5"/>
        <v>0</v>
      </c>
      <c r="I113" s="4" t="str">
        <f t="shared" si="6"/>
        <v/>
      </c>
    </row>
    <row r="114" spans="1:9" x14ac:dyDescent="0.2">
      <c r="A114" s="25"/>
      <c r="B114" s="25"/>
      <c r="C114" s="26" t="str">
        <f>IF(NOT(ISBLANK(A114)),VLOOKUP(A114,Listados!$A$3:$D$1252,2,FALSE),"")</f>
        <v/>
      </c>
      <c r="D114" s="26" t="str">
        <f>IF(NOT(ISBLANK(A114)),VLOOKUP(A114,Listados!$A$3:$D$1252,4,FALSE),"")</f>
        <v/>
      </c>
      <c r="E114" s="5" t="str">
        <f t="shared" si="4"/>
        <v/>
      </c>
      <c r="F114" s="8">
        <f t="shared" si="5"/>
        <v>0</v>
      </c>
      <c r="I114" s="4" t="str">
        <f t="shared" si="6"/>
        <v/>
      </c>
    </row>
    <row r="115" spans="1:9" x14ac:dyDescent="0.2">
      <c r="A115" s="25"/>
      <c r="B115" s="25"/>
      <c r="C115" s="26" t="str">
        <f>IF(NOT(ISBLANK(A115)),VLOOKUP(A115,Listados!$A$3:$D$1252,2,FALSE),"")</f>
        <v/>
      </c>
      <c r="D115" s="26" t="str">
        <f>IF(NOT(ISBLANK(A115)),VLOOKUP(A115,Listados!$A$3:$D$1252,4,FALSE),"")</f>
        <v/>
      </c>
      <c r="E115" s="5" t="str">
        <f t="shared" si="4"/>
        <v/>
      </c>
      <c r="F115" s="8">
        <f t="shared" si="5"/>
        <v>0</v>
      </c>
      <c r="I115" s="4" t="str">
        <f t="shared" si="6"/>
        <v/>
      </c>
    </row>
    <row r="116" spans="1:9" x14ac:dyDescent="0.2">
      <c r="A116" s="25"/>
      <c r="B116" s="25"/>
      <c r="C116" s="26" t="str">
        <f>IF(NOT(ISBLANK(A116)),VLOOKUP(A116,Listados!$A$3:$D$1252,2,FALSE),"")</f>
        <v/>
      </c>
      <c r="D116" s="26" t="str">
        <f>IF(NOT(ISBLANK(A116)),VLOOKUP(A116,Listados!$A$3:$D$1252,4,FALSE),"")</f>
        <v/>
      </c>
      <c r="E116" s="5" t="str">
        <f t="shared" si="4"/>
        <v/>
      </c>
      <c r="F116" s="8">
        <f t="shared" si="5"/>
        <v>0</v>
      </c>
      <c r="I116" s="4" t="str">
        <f t="shared" si="6"/>
        <v/>
      </c>
    </row>
    <row r="117" spans="1:9" x14ac:dyDescent="0.2">
      <c r="A117" s="25"/>
      <c r="B117" s="25"/>
      <c r="C117" s="26" t="str">
        <f>IF(NOT(ISBLANK(A117)),VLOOKUP(A117,Listados!$A$3:$D$1252,2,FALSE),"")</f>
        <v/>
      </c>
      <c r="D117" s="26" t="str">
        <f>IF(NOT(ISBLANK(A117)),VLOOKUP(A117,Listados!$A$3:$D$1252,4,FALSE),"")</f>
        <v/>
      </c>
      <c r="E117" s="5" t="str">
        <f t="shared" si="4"/>
        <v/>
      </c>
      <c r="F117" s="8">
        <f t="shared" si="5"/>
        <v>0</v>
      </c>
      <c r="I117" s="4" t="str">
        <f t="shared" si="6"/>
        <v/>
      </c>
    </row>
    <row r="118" spans="1:9" x14ac:dyDescent="0.2">
      <c r="A118" s="25"/>
      <c r="B118" s="25"/>
      <c r="C118" s="26" t="str">
        <f>IF(NOT(ISBLANK(A118)),VLOOKUP(A118,Listados!$A$3:$D$1252,2,FALSE),"")</f>
        <v/>
      </c>
      <c r="D118" s="26" t="str">
        <f>IF(NOT(ISBLANK(A118)),VLOOKUP(A118,Listados!$A$3:$D$1252,4,FALSE),"")</f>
        <v/>
      </c>
      <c r="E118" s="5" t="str">
        <f t="shared" si="4"/>
        <v/>
      </c>
      <c r="F118" s="8">
        <f t="shared" si="5"/>
        <v>0</v>
      </c>
      <c r="I118" s="4" t="str">
        <f t="shared" si="6"/>
        <v/>
      </c>
    </row>
    <row r="119" spans="1:9" x14ac:dyDescent="0.2">
      <c r="A119" s="25"/>
      <c r="B119" s="25"/>
      <c r="C119" s="26" t="str">
        <f>IF(NOT(ISBLANK(A119)),VLOOKUP(A119,Listados!$A$3:$D$1252,2,FALSE),"")</f>
        <v/>
      </c>
      <c r="D119" s="26" t="str">
        <f>IF(NOT(ISBLANK(A119)),VLOOKUP(A119,Listados!$A$3:$D$1252,4,FALSE),"")</f>
        <v/>
      </c>
      <c r="E119" s="5" t="str">
        <f t="shared" si="4"/>
        <v/>
      </c>
      <c r="F119" s="8">
        <f t="shared" si="5"/>
        <v>0</v>
      </c>
      <c r="I119" s="4" t="str">
        <f t="shared" si="6"/>
        <v/>
      </c>
    </row>
    <row r="120" spans="1:9" x14ac:dyDescent="0.2">
      <c r="A120" s="25"/>
      <c r="B120" s="25"/>
      <c r="C120" s="26" t="str">
        <f>IF(NOT(ISBLANK(A120)),VLOOKUP(A120,Listados!$A$3:$D$1252,2,FALSE),"")</f>
        <v/>
      </c>
      <c r="D120" s="26" t="str">
        <f>IF(NOT(ISBLANK(A120)),VLOOKUP(A120,Listados!$A$3:$D$1252,4,FALSE),"")</f>
        <v/>
      </c>
      <c r="E120" s="5" t="str">
        <f t="shared" si="4"/>
        <v/>
      </c>
      <c r="F120" s="8">
        <f t="shared" si="5"/>
        <v>0</v>
      </c>
      <c r="I120" s="4" t="str">
        <f t="shared" si="6"/>
        <v/>
      </c>
    </row>
    <row r="121" spans="1:9" x14ac:dyDescent="0.2">
      <c r="A121" s="25"/>
      <c r="B121" s="25"/>
      <c r="C121" s="26" t="str">
        <f>IF(NOT(ISBLANK(A121)),VLOOKUP(A121,Listados!$A$3:$D$1252,2,FALSE),"")</f>
        <v/>
      </c>
      <c r="D121" s="26" t="str">
        <f>IF(NOT(ISBLANK(A121)),VLOOKUP(A121,Listados!$A$3:$D$1252,4,FALSE),"")</f>
        <v/>
      </c>
      <c r="E121" s="5" t="str">
        <f t="shared" si="4"/>
        <v/>
      </c>
      <c r="F121" s="8">
        <f t="shared" si="5"/>
        <v>0</v>
      </c>
      <c r="I121" s="4" t="str">
        <f t="shared" si="6"/>
        <v/>
      </c>
    </row>
    <row r="122" spans="1:9" x14ac:dyDescent="0.2">
      <c r="A122" s="25"/>
      <c r="B122" s="25"/>
      <c r="C122" s="26" t="str">
        <f>IF(NOT(ISBLANK(A122)),VLOOKUP(A122,Listados!$A$3:$D$1252,2,FALSE),"")</f>
        <v/>
      </c>
      <c r="D122" s="26" t="str">
        <f>IF(NOT(ISBLANK(A122)),VLOOKUP(A122,Listados!$A$3:$D$1252,4,FALSE),"")</f>
        <v/>
      </c>
      <c r="E122" s="5" t="str">
        <f t="shared" si="4"/>
        <v/>
      </c>
      <c r="F122" s="8">
        <f t="shared" si="5"/>
        <v>0</v>
      </c>
      <c r="I122" s="4" t="str">
        <f t="shared" si="6"/>
        <v/>
      </c>
    </row>
    <row r="123" spans="1:9" x14ac:dyDescent="0.2">
      <c r="A123" s="25"/>
      <c r="B123" s="25"/>
      <c r="C123" s="26" t="str">
        <f>IF(NOT(ISBLANK(A123)),VLOOKUP(A123,Listados!$A$3:$D$1252,2,FALSE),"")</f>
        <v/>
      </c>
      <c r="D123" s="26" t="str">
        <f>IF(NOT(ISBLANK(A123)),VLOOKUP(A123,Listados!$A$3:$D$1252,4,FALSE),"")</f>
        <v/>
      </c>
      <c r="E123" s="5" t="str">
        <f t="shared" si="4"/>
        <v/>
      </c>
      <c r="F123" s="8">
        <f t="shared" si="5"/>
        <v>0</v>
      </c>
      <c r="I123" s="4" t="str">
        <f t="shared" si="6"/>
        <v/>
      </c>
    </row>
    <row r="124" spans="1:9" x14ac:dyDescent="0.2">
      <c r="A124" s="25"/>
      <c r="B124" s="25"/>
      <c r="C124" s="26" t="str">
        <f>IF(NOT(ISBLANK(A124)),VLOOKUP(A124,Listados!$A$3:$D$1252,2,FALSE),"")</f>
        <v/>
      </c>
      <c r="D124" s="26" t="str">
        <f>IF(NOT(ISBLANK(A124)),VLOOKUP(A124,Listados!$A$3:$D$1252,4,FALSE),"")</f>
        <v/>
      </c>
      <c r="E124" s="5" t="str">
        <f t="shared" si="4"/>
        <v/>
      </c>
      <c r="F124" s="8">
        <f t="shared" si="5"/>
        <v>0</v>
      </c>
      <c r="I124" s="4" t="str">
        <f t="shared" si="6"/>
        <v/>
      </c>
    </row>
    <row r="125" spans="1:9" x14ac:dyDescent="0.2">
      <c r="A125" s="25"/>
      <c r="B125" s="25"/>
      <c r="C125" s="26" t="str">
        <f>IF(NOT(ISBLANK(A125)),VLOOKUP(A125,Listados!$A$3:$D$1252,2,FALSE),"")</f>
        <v/>
      </c>
      <c r="D125" s="26" t="str">
        <f>IF(NOT(ISBLANK(A125)),VLOOKUP(A125,Listados!$A$3:$D$1252,4,FALSE),"")</f>
        <v/>
      </c>
      <c r="E125" s="5" t="str">
        <f t="shared" si="4"/>
        <v/>
      </c>
      <c r="F125" s="8">
        <f t="shared" si="5"/>
        <v>0</v>
      </c>
      <c r="I125" s="4" t="str">
        <f t="shared" si="6"/>
        <v/>
      </c>
    </row>
    <row r="126" spans="1:9" x14ac:dyDescent="0.2">
      <c r="A126" s="25"/>
      <c r="B126" s="25"/>
      <c r="C126" s="26" t="str">
        <f>IF(NOT(ISBLANK(A126)),VLOOKUP(A126,Listados!$A$3:$D$1252,2,FALSE),"")</f>
        <v/>
      </c>
      <c r="D126" s="26" t="str">
        <f>IF(NOT(ISBLANK(A126)),VLOOKUP(A126,Listados!$A$3:$D$1252,4,FALSE),"")</f>
        <v/>
      </c>
      <c r="E126" s="5" t="str">
        <f t="shared" si="4"/>
        <v/>
      </c>
      <c r="F126" s="8">
        <f t="shared" si="5"/>
        <v>0</v>
      </c>
      <c r="I126" s="4" t="str">
        <f t="shared" si="6"/>
        <v/>
      </c>
    </row>
    <row r="127" spans="1:9" x14ac:dyDescent="0.2">
      <c r="A127" s="25"/>
      <c r="B127" s="25"/>
      <c r="C127" s="26" t="str">
        <f>IF(NOT(ISBLANK(A127)),VLOOKUP(A127,Listados!$A$3:$D$1252,2,FALSE),"")</f>
        <v/>
      </c>
      <c r="D127" s="26" t="str">
        <f>IF(NOT(ISBLANK(A127)),VLOOKUP(A127,Listados!$A$3:$D$1252,4,FALSE),"")</f>
        <v/>
      </c>
      <c r="E127" s="5" t="str">
        <f t="shared" si="4"/>
        <v/>
      </c>
      <c r="F127" s="8">
        <f t="shared" si="5"/>
        <v>0</v>
      </c>
      <c r="I127" s="4" t="str">
        <f t="shared" si="6"/>
        <v/>
      </c>
    </row>
    <row r="128" spans="1:9" x14ac:dyDescent="0.2">
      <c r="A128" s="25"/>
      <c r="B128" s="25"/>
      <c r="C128" s="26" t="str">
        <f>IF(NOT(ISBLANK(A128)),VLOOKUP(A128,Listados!$A$3:$D$1252,2,FALSE),"")</f>
        <v/>
      </c>
      <c r="D128" s="26" t="str">
        <f>IF(NOT(ISBLANK(A128)),VLOOKUP(A128,Listados!$A$3:$D$1252,4,FALSE),"")</f>
        <v/>
      </c>
      <c r="E128" s="5" t="str">
        <f t="shared" si="4"/>
        <v/>
      </c>
      <c r="F128" s="8">
        <f t="shared" si="5"/>
        <v>0</v>
      </c>
      <c r="I128" s="4" t="str">
        <f t="shared" si="6"/>
        <v/>
      </c>
    </row>
    <row r="129" spans="1:9" x14ac:dyDescent="0.2">
      <c r="A129" s="25"/>
      <c r="B129" s="25"/>
      <c r="C129" s="26" t="str">
        <f>IF(NOT(ISBLANK(A129)),VLOOKUP(A129,Listados!$A$3:$D$1252,2,FALSE),"")</f>
        <v/>
      </c>
      <c r="D129" s="26" t="str">
        <f>IF(NOT(ISBLANK(A129)),VLOOKUP(A129,Listados!$A$3:$D$1252,4,FALSE),"")</f>
        <v/>
      </c>
      <c r="E129" s="5" t="str">
        <f t="shared" si="4"/>
        <v/>
      </c>
      <c r="F129" s="8">
        <f t="shared" si="5"/>
        <v>0</v>
      </c>
      <c r="I129" s="4" t="str">
        <f t="shared" si="6"/>
        <v/>
      </c>
    </row>
    <row r="130" spans="1:9" x14ac:dyDescent="0.2">
      <c r="A130" s="25"/>
      <c r="B130" s="25"/>
      <c r="C130" s="26" t="str">
        <f>IF(NOT(ISBLANK(A130)),VLOOKUP(A130,Listados!$A$3:$D$1252,2,FALSE),"")</f>
        <v/>
      </c>
      <c r="D130" s="26" t="str">
        <f>IF(NOT(ISBLANK(A130)),VLOOKUP(A130,Listados!$A$3:$D$1252,4,FALSE),"")</f>
        <v/>
      </c>
      <c r="E130" s="5" t="str">
        <f t="shared" si="4"/>
        <v/>
      </c>
      <c r="F130" s="8">
        <f t="shared" si="5"/>
        <v>0</v>
      </c>
      <c r="I130" s="4" t="str">
        <f t="shared" si="6"/>
        <v/>
      </c>
    </row>
    <row r="131" spans="1:9" x14ac:dyDescent="0.2">
      <c r="A131" s="25"/>
      <c r="B131" s="25"/>
      <c r="C131" s="26" t="str">
        <f>IF(NOT(ISBLANK(A131)),VLOOKUP(A131,Listados!$A$3:$D$1252,2,FALSE),"")</f>
        <v/>
      </c>
      <c r="D131" s="26" t="str">
        <f>IF(NOT(ISBLANK(A131)),VLOOKUP(A131,Listados!$A$3:$D$1252,4,FALSE),"")</f>
        <v/>
      </c>
      <c r="E131" s="5" t="str">
        <f t="shared" si="4"/>
        <v/>
      </c>
      <c r="F131" s="8">
        <f t="shared" si="5"/>
        <v>0</v>
      </c>
      <c r="I131" s="4" t="str">
        <f t="shared" si="6"/>
        <v/>
      </c>
    </row>
    <row r="132" spans="1:9" x14ac:dyDescent="0.2">
      <c r="A132" s="25"/>
      <c r="B132" s="25"/>
      <c r="C132" s="26" t="str">
        <f>IF(NOT(ISBLANK(A132)),VLOOKUP(A132,Listados!$A$3:$D$1252,2,FALSE),"")</f>
        <v/>
      </c>
      <c r="D132" s="26" t="str">
        <f>IF(NOT(ISBLANK(A132)),VLOOKUP(A132,Listados!$A$3:$D$1252,4,FALSE),"")</f>
        <v/>
      </c>
      <c r="E132" s="5" t="str">
        <f t="shared" si="4"/>
        <v/>
      </c>
      <c r="F132" s="8">
        <f t="shared" si="5"/>
        <v>0</v>
      </c>
      <c r="I132" s="4" t="str">
        <f t="shared" si="6"/>
        <v/>
      </c>
    </row>
    <row r="133" spans="1:9" x14ac:dyDescent="0.2">
      <c r="A133" s="25"/>
      <c r="B133" s="25"/>
      <c r="C133" s="26" t="str">
        <f>IF(NOT(ISBLANK(A133)),VLOOKUP(A133,Listados!$A$3:$D$1252,2,FALSE),"")</f>
        <v/>
      </c>
      <c r="D133" s="26" t="str">
        <f>IF(NOT(ISBLANK(A133)),VLOOKUP(A133,Listados!$A$3:$D$1252,4,FALSE),"")</f>
        <v/>
      </c>
      <c r="E133" s="5" t="str">
        <f t="shared" si="4"/>
        <v/>
      </c>
      <c r="F133" s="8">
        <f t="shared" si="5"/>
        <v>0</v>
      </c>
      <c r="I133" s="4" t="str">
        <f t="shared" si="6"/>
        <v/>
      </c>
    </row>
    <row r="134" spans="1:9" x14ac:dyDescent="0.2">
      <c r="A134" s="25"/>
      <c r="B134" s="25"/>
      <c r="C134" s="26" t="str">
        <f>IF(NOT(ISBLANK(A134)),VLOOKUP(A134,Listados!$A$3:$D$1252,2,FALSE),"")</f>
        <v/>
      </c>
      <c r="D134" s="26" t="str">
        <f>IF(NOT(ISBLANK(A134)),VLOOKUP(A134,Listados!$A$3:$D$1252,4,FALSE),"")</f>
        <v/>
      </c>
      <c r="E134" s="5" t="str">
        <f t="shared" si="4"/>
        <v/>
      </c>
      <c r="F134" s="8">
        <f t="shared" si="5"/>
        <v>0</v>
      </c>
      <c r="I134" s="4" t="str">
        <f t="shared" si="6"/>
        <v/>
      </c>
    </row>
    <row r="135" spans="1:9" x14ac:dyDescent="0.2">
      <c r="A135" s="25"/>
      <c r="B135" s="25"/>
      <c r="C135" s="26" t="str">
        <f>IF(NOT(ISBLANK(A135)),VLOOKUP(A135,Listados!$A$3:$D$1252,2,FALSE),"")</f>
        <v/>
      </c>
      <c r="D135" s="26" t="str">
        <f>IF(NOT(ISBLANK(A135)),VLOOKUP(A135,Listados!$A$3:$D$1252,4,FALSE),"")</f>
        <v/>
      </c>
      <c r="E135" s="5" t="str">
        <f t="shared" si="4"/>
        <v/>
      </c>
      <c r="F135" s="8">
        <f t="shared" si="5"/>
        <v>0</v>
      </c>
      <c r="I135" s="4" t="str">
        <f t="shared" si="6"/>
        <v/>
      </c>
    </row>
    <row r="136" spans="1:9" x14ac:dyDescent="0.2">
      <c r="A136" s="25"/>
      <c r="B136" s="25"/>
      <c r="C136" s="26" t="str">
        <f>IF(NOT(ISBLANK(A136)),VLOOKUP(A136,Listados!$A$3:$D$1252,2,FALSE),"")</f>
        <v/>
      </c>
      <c r="D136" s="26" t="str">
        <f>IF(NOT(ISBLANK(A136)),VLOOKUP(A136,Listados!$A$3:$D$1252,4,FALSE),"")</f>
        <v/>
      </c>
      <c r="E136" s="5" t="str">
        <f t="shared" si="4"/>
        <v/>
      </c>
      <c r="F136" s="8">
        <f t="shared" si="5"/>
        <v>0</v>
      </c>
      <c r="I136" s="4" t="str">
        <f t="shared" si="6"/>
        <v/>
      </c>
    </row>
    <row r="137" spans="1:9" x14ac:dyDescent="0.2">
      <c r="A137" s="25"/>
      <c r="B137" s="25"/>
      <c r="C137" s="26" t="str">
        <f>IF(NOT(ISBLANK(A137)),VLOOKUP(A137,Listados!$A$3:$D$1252,2,FALSE),"")</f>
        <v/>
      </c>
      <c r="D137" s="26" t="str">
        <f>IF(NOT(ISBLANK(A137)),VLOOKUP(A137,Listados!$A$3:$D$1252,4,FALSE),"")</f>
        <v/>
      </c>
      <c r="E137" s="5" t="str">
        <f t="shared" si="4"/>
        <v/>
      </c>
      <c r="F137" s="8">
        <f t="shared" si="5"/>
        <v>0</v>
      </c>
      <c r="I137" s="4" t="str">
        <f t="shared" si="6"/>
        <v/>
      </c>
    </row>
    <row r="138" spans="1:9" x14ac:dyDescent="0.2">
      <c r="A138" s="25"/>
      <c r="B138" s="25"/>
      <c r="C138" s="26" t="str">
        <f>IF(NOT(ISBLANK(A138)),VLOOKUP(A138,Listados!$A$3:$D$1252,2,FALSE),"")</f>
        <v/>
      </c>
      <c r="D138" s="26" t="str">
        <f>IF(NOT(ISBLANK(A138)),VLOOKUP(A138,Listados!$A$3:$D$1252,4,FALSE),"")</f>
        <v/>
      </c>
      <c r="E138" s="5" t="str">
        <f t="shared" si="4"/>
        <v/>
      </c>
      <c r="F138" s="8">
        <f t="shared" si="5"/>
        <v>0</v>
      </c>
      <c r="I138" s="4" t="str">
        <f t="shared" si="6"/>
        <v/>
      </c>
    </row>
    <row r="139" spans="1:9" x14ac:dyDescent="0.2">
      <c r="A139" s="25"/>
      <c r="B139" s="25"/>
      <c r="C139" s="26" t="str">
        <f>IF(NOT(ISBLANK(A139)),VLOOKUP(A139,Listados!$A$3:$D$1252,2,FALSE),"")</f>
        <v/>
      </c>
      <c r="D139" s="26" t="str">
        <f>IF(NOT(ISBLANK(A139)),VLOOKUP(A139,Listados!$A$3:$D$1252,4,FALSE),"")</f>
        <v/>
      </c>
      <c r="E139" s="5" t="str">
        <f t="shared" si="4"/>
        <v/>
      </c>
      <c r="F139" s="8">
        <f t="shared" si="5"/>
        <v>0</v>
      </c>
      <c r="I139" s="4" t="str">
        <f t="shared" si="6"/>
        <v/>
      </c>
    </row>
    <row r="140" spans="1:9" x14ac:dyDescent="0.2">
      <c r="A140" s="25"/>
      <c r="B140" s="25"/>
      <c r="C140" s="26" t="str">
        <f>IF(NOT(ISBLANK(A140)),VLOOKUP(A140,Listados!$A$3:$D$1252,2,FALSE),"")</f>
        <v/>
      </c>
      <c r="D140" s="26" t="str">
        <f>IF(NOT(ISBLANK(A140)),VLOOKUP(A140,Listados!$A$3:$D$1252,4,FALSE),"")</f>
        <v/>
      </c>
      <c r="E140" s="5" t="str">
        <f t="shared" si="4"/>
        <v/>
      </c>
      <c r="F140" s="8">
        <f t="shared" si="5"/>
        <v>0</v>
      </c>
      <c r="I140" s="4" t="str">
        <f t="shared" si="6"/>
        <v/>
      </c>
    </row>
    <row r="141" spans="1:9" x14ac:dyDescent="0.2">
      <c r="A141" s="25"/>
      <c r="B141" s="25"/>
      <c r="C141" s="26" t="str">
        <f>IF(NOT(ISBLANK(A141)),VLOOKUP(A141,Listados!$A$3:$D$1252,2,FALSE),"")</f>
        <v/>
      </c>
      <c r="D141" s="26" t="str">
        <f>IF(NOT(ISBLANK(A141)),VLOOKUP(A141,Listados!$A$3:$D$1252,4,FALSE),"")</f>
        <v/>
      </c>
      <c r="E141" s="5" t="str">
        <f t="shared" si="4"/>
        <v/>
      </c>
      <c r="F141" s="8">
        <f t="shared" si="5"/>
        <v>0</v>
      </c>
      <c r="I141" s="4" t="str">
        <f t="shared" si="6"/>
        <v/>
      </c>
    </row>
    <row r="142" spans="1:9" x14ac:dyDescent="0.2">
      <c r="A142" s="25"/>
      <c r="B142" s="25"/>
      <c r="C142" s="26" t="str">
        <f>IF(NOT(ISBLANK(A142)),VLOOKUP(A142,Listados!$A$3:$D$1252,2,FALSE),"")</f>
        <v/>
      </c>
      <c r="D142" s="26" t="str">
        <f>IF(NOT(ISBLANK(A142)),VLOOKUP(A142,Listados!$A$3:$D$1252,4,FALSE),"")</f>
        <v/>
      </c>
      <c r="E142" s="5" t="str">
        <f t="shared" si="4"/>
        <v/>
      </c>
      <c r="F142" s="8">
        <f t="shared" si="5"/>
        <v>0</v>
      </c>
      <c r="I142" s="4" t="str">
        <f t="shared" si="6"/>
        <v/>
      </c>
    </row>
    <row r="143" spans="1:9" x14ac:dyDescent="0.2">
      <c r="A143" s="25"/>
      <c r="B143" s="25"/>
      <c r="C143" s="26" t="str">
        <f>IF(NOT(ISBLANK(A143)),VLOOKUP(A143,Listados!$A$3:$D$1252,2,FALSE),"")</f>
        <v/>
      </c>
      <c r="D143" s="26" t="str">
        <f>IF(NOT(ISBLANK(A143)),VLOOKUP(A143,Listados!$A$3:$D$1252,4,FALSE),"")</f>
        <v/>
      </c>
      <c r="E143" s="5" t="str">
        <f t="shared" si="4"/>
        <v/>
      </c>
      <c r="F143" s="8">
        <f t="shared" si="5"/>
        <v>0</v>
      </c>
      <c r="I143" s="4" t="str">
        <f t="shared" si="6"/>
        <v/>
      </c>
    </row>
    <row r="144" spans="1:9" x14ac:dyDescent="0.2">
      <c r="A144" s="25"/>
      <c r="B144" s="25"/>
      <c r="C144" s="26" t="str">
        <f>IF(NOT(ISBLANK(A144)),VLOOKUP(A144,Listados!$A$3:$D$1252,2,FALSE),"")</f>
        <v/>
      </c>
      <c r="D144" s="26" t="str">
        <f>IF(NOT(ISBLANK(A144)),VLOOKUP(A144,Listados!$A$3:$D$1252,4,FALSE),"")</f>
        <v/>
      </c>
      <c r="E144" s="5" t="str">
        <f t="shared" ref="E144:E207" si="7">IF(ISERROR(C144),"El código de ciudad no es válido",IF(AND(NOT(ISNUMBER(B144)),NOT(A144="")),"Escriba la muestra para esta ciudad",""))</f>
        <v/>
      </c>
      <c r="F144" s="8">
        <f t="shared" ref="F144:F207" si="8">IF(NOT(E144=""),1,0)</f>
        <v>0</v>
      </c>
      <c r="I144" s="4" t="str">
        <f t="shared" ref="I144:I207" si="9">IF(AND(NOT(A144=""),ISNUMBER(B144)),"EXEC [dbo].[IQ_DistribuirMuestra_WORK] "&amp;A144&amp;", "&amp;B144&amp;", "&amp;$I$8&amp;", "&amp;$I$11&amp;", "&amp;$I$10&amp;", "&amp;$I$9&amp;";","")</f>
        <v/>
      </c>
    </row>
    <row r="145" spans="1:9" x14ac:dyDescent="0.2">
      <c r="A145" s="25"/>
      <c r="B145" s="25"/>
      <c r="C145" s="26" t="str">
        <f>IF(NOT(ISBLANK(A145)),VLOOKUP(A145,Listados!$A$3:$D$1252,2,FALSE),"")</f>
        <v/>
      </c>
      <c r="D145" s="26" t="str">
        <f>IF(NOT(ISBLANK(A145)),VLOOKUP(A145,Listados!$A$3:$D$1252,4,FALSE),"")</f>
        <v/>
      </c>
      <c r="E145" s="5" t="str">
        <f t="shared" si="7"/>
        <v/>
      </c>
      <c r="F145" s="8">
        <f t="shared" si="8"/>
        <v>0</v>
      </c>
      <c r="I145" s="4" t="str">
        <f t="shared" si="9"/>
        <v/>
      </c>
    </row>
    <row r="146" spans="1:9" x14ac:dyDescent="0.2">
      <c r="A146" s="25"/>
      <c r="B146" s="25"/>
      <c r="C146" s="26" t="str">
        <f>IF(NOT(ISBLANK(A146)),VLOOKUP(A146,Listados!$A$3:$D$1252,2,FALSE),"")</f>
        <v/>
      </c>
      <c r="D146" s="26" t="str">
        <f>IF(NOT(ISBLANK(A146)),VLOOKUP(A146,Listados!$A$3:$D$1252,4,FALSE),"")</f>
        <v/>
      </c>
      <c r="E146" s="5" t="str">
        <f t="shared" si="7"/>
        <v/>
      </c>
      <c r="F146" s="8">
        <f t="shared" si="8"/>
        <v>0</v>
      </c>
      <c r="I146" s="4" t="str">
        <f t="shared" si="9"/>
        <v/>
      </c>
    </row>
    <row r="147" spans="1:9" x14ac:dyDescent="0.2">
      <c r="A147" s="25"/>
      <c r="B147" s="25"/>
      <c r="C147" s="26" t="str">
        <f>IF(NOT(ISBLANK(A147)),VLOOKUP(A147,Listados!$A$3:$D$1252,2,FALSE),"")</f>
        <v/>
      </c>
      <c r="D147" s="26" t="str">
        <f>IF(NOT(ISBLANK(A147)),VLOOKUP(A147,Listados!$A$3:$D$1252,4,FALSE),"")</f>
        <v/>
      </c>
      <c r="E147" s="5" t="str">
        <f t="shared" si="7"/>
        <v/>
      </c>
      <c r="F147" s="8">
        <f t="shared" si="8"/>
        <v>0</v>
      </c>
      <c r="I147" s="4" t="str">
        <f t="shared" si="9"/>
        <v/>
      </c>
    </row>
    <row r="148" spans="1:9" x14ac:dyDescent="0.2">
      <c r="A148" s="25"/>
      <c r="B148" s="25"/>
      <c r="C148" s="26" t="str">
        <f>IF(NOT(ISBLANK(A148)),VLOOKUP(A148,Listados!$A$3:$D$1252,2,FALSE),"")</f>
        <v/>
      </c>
      <c r="D148" s="26" t="str">
        <f>IF(NOT(ISBLANK(A148)),VLOOKUP(A148,Listados!$A$3:$D$1252,4,FALSE),"")</f>
        <v/>
      </c>
      <c r="E148" s="5" t="str">
        <f t="shared" si="7"/>
        <v/>
      </c>
      <c r="F148" s="8">
        <f t="shared" si="8"/>
        <v>0</v>
      </c>
      <c r="I148" s="4" t="str">
        <f t="shared" si="9"/>
        <v/>
      </c>
    </row>
    <row r="149" spans="1:9" x14ac:dyDescent="0.2">
      <c r="A149" s="25"/>
      <c r="B149" s="25"/>
      <c r="C149" s="26" t="str">
        <f>IF(NOT(ISBLANK(A149)),VLOOKUP(A149,Listados!$A$3:$D$1252,2,FALSE),"")</f>
        <v/>
      </c>
      <c r="D149" s="26" t="str">
        <f>IF(NOT(ISBLANK(A149)),VLOOKUP(A149,Listados!$A$3:$D$1252,4,FALSE),"")</f>
        <v/>
      </c>
      <c r="E149" s="5" t="str">
        <f t="shared" si="7"/>
        <v/>
      </c>
      <c r="F149" s="8">
        <f t="shared" si="8"/>
        <v>0</v>
      </c>
      <c r="I149" s="4" t="str">
        <f t="shared" si="9"/>
        <v/>
      </c>
    </row>
    <row r="150" spans="1:9" x14ac:dyDescent="0.2">
      <c r="A150" s="25"/>
      <c r="B150" s="25"/>
      <c r="C150" s="26" t="str">
        <f>IF(NOT(ISBLANK(A150)),VLOOKUP(A150,Listados!$A$3:$D$1252,2,FALSE),"")</f>
        <v/>
      </c>
      <c r="D150" s="26" t="str">
        <f>IF(NOT(ISBLANK(A150)),VLOOKUP(A150,Listados!$A$3:$D$1252,4,FALSE),"")</f>
        <v/>
      </c>
      <c r="E150" s="5" t="str">
        <f t="shared" si="7"/>
        <v/>
      </c>
      <c r="F150" s="8">
        <f t="shared" si="8"/>
        <v>0</v>
      </c>
      <c r="I150" s="4" t="str">
        <f t="shared" si="9"/>
        <v/>
      </c>
    </row>
    <row r="151" spans="1:9" x14ac:dyDescent="0.2">
      <c r="A151" s="25"/>
      <c r="B151" s="25"/>
      <c r="C151" s="26" t="str">
        <f>IF(NOT(ISBLANK(A151)),VLOOKUP(A151,Listados!$A$3:$D$1252,2,FALSE),"")</f>
        <v/>
      </c>
      <c r="D151" s="26" t="str">
        <f>IF(NOT(ISBLANK(A151)),VLOOKUP(A151,Listados!$A$3:$D$1252,4,FALSE),"")</f>
        <v/>
      </c>
      <c r="E151" s="5" t="str">
        <f t="shared" si="7"/>
        <v/>
      </c>
      <c r="F151" s="8">
        <f t="shared" si="8"/>
        <v>0</v>
      </c>
      <c r="I151" s="4" t="str">
        <f t="shared" si="9"/>
        <v/>
      </c>
    </row>
    <row r="152" spans="1:9" x14ac:dyDescent="0.2">
      <c r="A152" s="25"/>
      <c r="B152" s="25"/>
      <c r="C152" s="26" t="str">
        <f>IF(NOT(ISBLANK(A152)),VLOOKUP(A152,Listados!$A$3:$D$1252,2,FALSE),"")</f>
        <v/>
      </c>
      <c r="D152" s="26" t="str">
        <f>IF(NOT(ISBLANK(A152)),VLOOKUP(A152,Listados!$A$3:$D$1252,4,FALSE),"")</f>
        <v/>
      </c>
      <c r="E152" s="5" t="str">
        <f t="shared" si="7"/>
        <v/>
      </c>
      <c r="F152" s="8">
        <f t="shared" si="8"/>
        <v>0</v>
      </c>
      <c r="I152" s="4" t="str">
        <f t="shared" si="9"/>
        <v/>
      </c>
    </row>
    <row r="153" spans="1:9" x14ac:dyDescent="0.2">
      <c r="A153" s="25"/>
      <c r="B153" s="25"/>
      <c r="C153" s="26" t="str">
        <f>IF(NOT(ISBLANK(A153)),VLOOKUP(A153,Listados!$A$3:$D$1252,2,FALSE),"")</f>
        <v/>
      </c>
      <c r="D153" s="26" t="str">
        <f>IF(NOT(ISBLANK(A153)),VLOOKUP(A153,Listados!$A$3:$D$1252,4,FALSE),"")</f>
        <v/>
      </c>
      <c r="E153" s="5" t="str">
        <f t="shared" si="7"/>
        <v/>
      </c>
      <c r="F153" s="8">
        <f t="shared" si="8"/>
        <v>0</v>
      </c>
      <c r="I153" s="4" t="str">
        <f t="shared" si="9"/>
        <v/>
      </c>
    </row>
    <row r="154" spans="1:9" x14ac:dyDescent="0.2">
      <c r="A154" s="25"/>
      <c r="B154" s="25"/>
      <c r="C154" s="26" t="str">
        <f>IF(NOT(ISBLANK(A154)),VLOOKUP(A154,Listados!$A$3:$D$1252,2,FALSE),"")</f>
        <v/>
      </c>
      <c r="D154" s="26" t="str">
        <f>IF(NOT(ISBLANK(A154)),VLOOKUP(A154,Listados!$A$3:$D$1252,4,FALSE),"")</f>
        <v/>
      </c>
      <c r="E154" s="5" t="str">
        <f t="shared" si="7"/>
        <v/>
      </c>
      <c r="F154" s="8">
        <f t="shared" si="8"/>
        <v>0</v>
      </c>
      <c r="I154" s="4" t="str">
        <f t="shared" si="9"/>
        <v/>
      </c>
    </row>
    <row r="155" spans="1:9" x14ac:dyDescent="0.2">
      <c r="A155" s="25"/>
      <c r="B155" s="25"/>
      <c r="C155" s="26" t="str">
        <f>IF(NOT(ISBLANK(A155)),VLOOKUP(A155,Listados!$A$3:$D$1252,2,FALSE),"")</f>
        <v/>
      </c>
      <c r="D155" s="26" t="str">
        <f>IF(NOT(ISBLANK(A155)),VLOOKUP(A155,Listados!$A$3:$D$1252,4,FALSE),"")</f>
        <v/>
      </c>
      <c r="E155" s="5" t="str">
        <f t="shared" si="7"/>
        <v/>
      </c>
      <c r="F155" s="8">
        <f t="shared" si="8"/>
        <v>0</v>
      </c>
      <c r="I155" s="4" t="str">
        <f t="shared" si="9"/>
        <v/>
      </c>
    </row>
    <row r="156" spans="1:9" x14ac:dyDescent="0.2">
      <c r="A156" s="25"/>
      <c r="B156" s="25"/>
      <c r="C156" s="26" t="str">
        <f>IF(NOT(ISBLANK(A156)),VLOOKUP(A156,Listados!$A$3:$D$1252,2,FALSE),"")</f>
        <v/>
      </c>
      <c r="D156" s="26" t="str">
        <f>IF(NOT(ISBLANK(A156)),VLOOKUP(A156,Listados!$A$3:$D$1252,4,FALSE),"")</f>
        <v/>
      </c>
      <c r="E156" s="5" t="str">
        <f t="shared" si="7"/>
        <v/>
      </c>
      <c r="F156" s="8">
        <f t="shared" si="8"/>
        <v>0</v>
      </c>
      <c r="I156" s="4" t="str">
        <f t="shared" si="9"/>
        <v/>
      </c>
    </row>
    <row r="157" spans="1:9" x14ac:dyDescent="0.2">
      <c r="A157" s="25"/>
      <c r="B157" s="25"/>
      <c r="C157" s="26" t="str">
        <f>IF(NOT(ISBLANK(A157)),VLOOKUP(A157,Listados!$A$3:$D$1252,2,FALSE),"")</f>
        <v/>
      </c>
      <c r="D157" s="26" t="str">
        <f>IF(NOT(ISBLANK(A157)),VLOOKUP(A157,Listados!$A$3:$D$1252,4,FALSE),"")</f>
        <v/>
      </c>
      <c r="E157" s="5" t="str">
        <f t="shared" si="7"/>
        <v/>
      </c>
      <c r="F157" s="8">
        <f t="shared" si="8"/>
        <v>0</v>
      </c>
      <c r="I157" s="4" t="str">
        <f t="shared" si="9"/>
        <v/>
      </c>
    </row>
    <row r="158" spans="1:9" x14ac:dyDescent="0.2">
      <c r="A158" s="25"/>
      <c r="B158" s="25"/>
      <c r="C158" s="26" t="str">
        <f>IF(NOT(ISBLANK(A158)),VLOOKUP(A158,Listados!$A$3:$D$1252,2,FALSE),"")</f>
        <v/>
      </c>
      <c r="D158" s="26" t="str">
        <f>IF(NOT(ISBLANK(A158)),VLOOKUP(A158,Listados!$A$3:$D$1252,4,FALSE),"")</f>
        <v/>
      </c>
      <c r="E158" s="5" t="str">
        <f t="shared" si="7"/>
        <v/>
      </c>
      <c r="F158" s="8">
        <f t="shared" si="8"/>
        <v>0</v>
      </c>
      <c r="I158" s="4" t="str">
        <f t="shared" si="9"/>
        <v/>
      </c>
    </row>
    <row r="159" spans="1:9" x14ac:dyDescent="0.2">
      <c r="A159" s="25"/>
      <c r="B159" s="25"/>
      <c r="C159" s="26" t="str">
        <f>IF(NOT(ISBLANK(A159)),VLOOKUP(A159,Listados!$A$3:$D$1252,2,FALSE),"")</f>
        <v/>
      </c>
      <c r="D159" s="26" t="str">
        <f>IF(NOT(ISBLANK(A159)),VLOOKUP(A159,Listados!$A$3:$D$1252,4,FALSE),"")</f>
        <v/>
      </c>
      <c r="E159" s="5" t="str">
        <f t="shared" si="7"/>
        <v/>
      </c>
      <c r="F159" s="8">
        <f t="shared" si="8"/>
        <v>0</v>
      </c>
      <c r="I159" s="4" t="str">
        <f t="shared" si="9"/>
        <v/>
      </c>
    </row>
    <row r="160" spans="1:9" x14ac:dyDescent="0.2">
      <c r="A160" s="25"/>
      <c r="B160" s="25"/>
      <c r="C160" s="26" t="str">
        <f>IF(NOT(ISBLANK(A160)),VLOOKUP(A160,Listados!$A$3:$D$1252,2,FALSE),"")</f>
        <v/>
      </c>
      <c r="D160" s="26" t="str">
        <f>IF(NOT(ISBLANK(A160)),VLOOKUP(A160,Listados!$A$3:$D$1252,4,FALSE),"")</f>
        <v/>
      </c>
      <c r="E160" s="5" t="str">
        <f t="shared" si="7"/>
        <v/>
      </c>
      <c r="F160" s="8">
        <f t="shared" si="8"/>
        <v>0</v>
      </c>
      <c r="I160" s="4" t="str">
        <f t="shared" si="9"/>
        <v/>
      </c>
    </row>
    <row r="161" spans="1:9" x14ac:dyDescent="0.2">
      <c r="A161" s="25"/>
      <c r="B161" s="25"/>
      <c r="C161" s="26" t="str">
        <f>IF(NOT(ISBLANK(A161)),VLOOKUP(A161,Listados!$A$3:$D$1252,2,FALSE),"")</f>
        <v/>
      </c>
      <c r="D161" s="26" t="str">
        <f>IF(NOT(ISBLANK(A161)),VLOOKUP(A161,Listados!$A$3:$D$1252,4,FALSE),"")</f>
        <v/>
      </c>
      <c r="E161" s="5" t="str">
        <f t="shared" si="7"/>
        <v/>
      </c>
      <c r="F161" s="8">
        <f t="shared" si="8"/>
        <v>0</v>
      </c>
      <c r="I161" s="4" t="str">
        <f t="shared" si="9"/>
        <v/>
      </c>
    </row>
    <row r="162" spans="1:9" x14ac:dyDescent="0.2">
      <c r="A162" s="25"/>
      <c r="B162" s="25"/>
      <c r="C162" s="26" t="str">
        <f>IF(NOT(ISBLANK(A162)),VLOOKUP(A162,Listados!$A$3:$D$1252,2,FALSE),"")</f>
        <v/>
      </c>
      <c r="D162" s="26" t="str">
        <f>IF(NOT(ISBLANK(A162)),VLOOKUP(A162,Listados!$A$3:$D$1252,4,FALSE),"")</f>
        <v/>
      </c>
      <c r="E162" s="5" t="str">
        <f t="shared" si="7"/>
        <v/>
      </c>
      <c r="F162" s="8">
        <f t="shared" si="8"/>
        <v>0</v>
      </c>
      <c r="I162" s="4" t="str">
        <f t="shared" si="9"/>
        <v/>
      </c>
    </row>
    <row r="163" spans="1:9" x14ac:dyDescent="0.2">
      <c r="A163" s="25"/>
      <c r="B163" s="25"/>
      <c r="C163" s="26" t="str">
        <f>IF(NOT(ISBLANK(A163)),VLOOKUP(A163,Listados!$A$3:$D$1252,2,FALSE),"")</f>
        <v/>
      </c>
      <c r="D163" s="26" t="str">
        <f>IF(NOT(ISBLANK(A163)),VLOOKUP(A163,Listados!$A$3:$D$1252,4,FALSE),"")</f>
        <v/>
      </c>
      <c r="E163" s="5" t="str">
        <f t="shared" si="7"/>
        <v/>
      </c>
      <c r="F163" s="8">
        <f t="shared" si="8"/>
        <v>0</v>
      </c>
      <c r="I163" s="4" t="str">
        <f t="shared" si="9"/>
        <v/>
      </c>
    </row>
    <row r="164" spans="1:9" x14ac:dyDescent="0.2">
      <c r="A164" s="25"/>
      <c r="B164" s="25"/>
      <c r="C164" s="26" t="str">
        <f>IF(NOT(ISBLANK(A164)),VLOOKUP(A164,Listados!$A$3:$D$1252,2,FALSE),"")</f>
        <v/>
      </c>
      <c r="D164" s="26" t="str">
        <f>IF(NOT(ISBLANK(A164)),VLOOKUP(A164,Listados!$A$3:$D$1252,4,FALSE),"")</f>
        <v/>
      </c>
      <c r="E164" s="5" t="str">
        <f t="shared" si="7"/>
        <v/>
      </c>
      <c r="F164" s="8">
        <f t="shared" si="8"/>
        <v>0</v>
      </c>
      <c r="I164" s="4" t="str">
        <f t="shared" si="9"/>
        <v/>
      </c>
    </row>
    <row r="165" spans="1:9" x14ac:dyDescent="0.2">
      <c r="A165" s="25"/>
      <c r="B165" s="25"/>
      <c r="C165" s="26" t="str">
        <f>IF(NOT(ISBLANK(A165)),VLOOKUP(A165,Listados!$A$3:$D$1252,2,FALSE),"")</f>
        <v/>
      </c>
      <c r="D165" s="26" t="str">
        <f>IF(NOT(ISBLANK(A165)),VLOOKUP(A165,Listados!$A$3:$D$1252,4,FALSE),"")</f>
        <v/>
      </c>
      <c r="E165" s="5" t="str">
        <f t="shared" si="7"/>
        <v/>
      </c>
      <c r="F165" s="8">
        <f t="shared" si="8"/>
        <v>0</v>
      </c>
      <c r="I165" s="4" t="str">
        <f t="shared" si="9"/>
        <v/>
      </c>
    </row>
    <row r="166" spans="1:9" x14ac:dyDescent="0.2">
      <c r="A166" s="25"/>
      <c r="B166" s="25"/>
      <c r="C166" s="26" t="str">
        <f>IF(NOT(ISBLANK(A166)),VLOOKUP(A166,Listados!$A$3:$D$1252,2,FALSE),"")</f>
        <v/>
      </c>
      <c r="D166" s="26" t="str">
        <f>IF(NOT(ISBLANK(A166)),VLOOKUP(A166,Listados!$A$3:$D$1252,4,FALSE),"")</f>
        <v/>
      </c>
      <c r="E166" s="5" t="str">
        <f t="shared" si="7"/>
        <v/>
      </c>
      <c r="F166" s="8">
        <f t="shared" si="8"/>
        <v>0</v>
      </c>
      <c r="I166" s="4" t="str">
        <f t="shared" si="9"/>
        <v/>
      </c>
    </row>
    <row r="167" spans="1:9" x14ac:dyDescent="0.2">
      <c r="A167" s="25"/>
      <c r="B167" s="25"/>
      <c r="C167" s="26" t="str">
        <f>IF(NOT(ISBLANK(A167)),VLOOKUP(A167,Listados!$A$3:$D$1252,2,FALSE),"")</f>
        <v/>
      </c>
      <c r="D167" s="26" t="str">
        <f>IF(NOT(ISBLANK(A167)),VLOOKUP(A167,Listados!$A$3:$D$1252,4,FALSE),"")</f>
        <v/>
      </c>
      <c r="E167" s="5" t="str">
        <f t="shared" si="7"/>
        <v/>
      </c>
      <c r="F167" s="8">
        <f t="shared" si="8"/>
        <v>0</v>
      </c>
      <c r="I167" s="4" t="str">
        <f t="shared" si="9"/>
        <v/>
      </c>
    </row>
    <row r="168" spans="1:9" x14ac:dyDescent="0.2">
      <c r="A168" s="25"/>
      <c r="B168" s="25"/>
      <c r="C168" s="26" t="str">
        <f>IF(NOT(ISBLANK(A168)),VLOOKUP(A168,Listados!$A$3:$D$1252,2,FALSE),"")</f>
        <v/>
      </c>
      <c r="D168" s="26" t="str">
        <f>IF(NOT(ISBLANK(A168)),VLOOKUP(A168,Listados!$A$3:$D$1252,4,FALSE),"")</f>
        <v/>
      </c>
      <c r="E168" s="5" t="str">
        <f t="shared" si="7"/>
        <v/>
      </c>
      <c r="F168" s="8">
        <f t="shared" si="8"/>
        <v>0</v>
      </c>
      <c r="I168" s="4" t="str">
        <f t="shared" si="9"/>
        <v/>
      </c>
    </row>
    <row r="169" spans="1:9" x14ac:dyDescent="0.2">
      <c r="A169" s="25"/>
      <c r="B169" s="25"/>
      <c r="C169" s="26" t="str">
        <f>IF(NOT(ISBLANK(A169)),VLOOKUP(A169,Listados!$A$3:$D$1252,2,FALSE),"")</f>
        <v/>
      </c>
      <c r="D169" s="26" t="str">
        <f>IF(NOT(ISBLANK(A169)),VLOOKUP(A169,Listados!$A$3:$D$1252,4,FALSE),"")</f>
        <v/>
      </c>
      <c r="E169" s="5" t="str">
        <f t="shared" si="7"/>
        <v/>
      </c>
      <c r="F169" s="8">
        <f t="shared" si="8"/>
        <v>0</v>
      </c>
      <c r="I169" s="4" t="str">
        <f t="shared" si="9"/>
        <v/>
      </c>
    </row>
    <row r="170" spans="1:9" x14ac:dyDescent="0.2">
      <c r="A170" s="25"/>
      <c r="B170" s="25"/>
      <c r="C170" s="26" t="str">
        <f>IF(NOT(ISBLANK(A170)),VLOOKUP(A170,Listados!$A$3:$D$1252,2,FALSE),"")</f>
        <v/>
      </c>
      <c r="D170" s="26" t="str">
        <f>IF(NOT(ISBLANK(A170)),VLOOKUP(A170,Listados!$A$3:$D$1252,4,FALSE),"")</f>
        <v/>
      </c>
      <c r="E170" s="5" t="str">
        <f t="shared" si="7"/>
        <v/>
      </c>
      <c r="F170" s="8">
        <f t="shared" si="8"/>
        <v>0</v>
      </c>
      <c r="I170" s="4" t="str">
        <f t="shared" si="9"/>
        <v/>
      </c>
    </row>
    <row r="171" spans="1:9" x14ac:dyDescent="0.2">
      <c r="A171" s="25"/>
      <c r="B171" s="25"/>
      <c r="C171" s="26" t="str">
        <f>IF(NOT(ISBLANK(A171)),VLOOKUP(A171,Listados!$A$3:$D$1252,2,FALSE),"")</f>
        <v/>
      </c>
      <c r="D171" s="26" t="str">
        <f>IF(NOT(ISBLANK(A171)),VLOOKUP(A171,Listados!$A$3:$D$1252,4,FALSE),"")</f>
        <v/>
      </c>
      <c r="E171" s="5" t="str">
        <f t="shared" si="7"/>
        <v/>
      </c>
      <c r="F171" s="8">
        <f t="shared" si="8"/>
        <v>0</v>
      </c>
      <c r="I171" s="4" t="str">
        <f t="shared" si="9"/>
        <v/>
      </c>
    </row>
    <row r="172" spans="1:9" x14ac:dyDescent="0.2">
      <c r="A172" s="25"/>
      <c r="B172" s="25"/>
      <c r="C172" s="26" t="str">
        <f>IF(NOT(ISBLANK(A172)),VLOOKUP(A172,Listados!$A$3:$D$1252,2,FALSE),"")</f>
        <v/>
      </c>
      <c r="D172" s="26" t="str">
        <f>IF(NOT(ISBLANK(A172)),VLOOKUP(A172,Listados!$A$3:$D$1252,4,FALSE),"")</f>
        <v/>
      </c>
      <c r="E172" s="5" t="str">
        <f t="shared" si="7"/>
        <v/>
      </c>
      <c r="F172" s="8">
        <f t="shared" si="8"/>
        <v>0</v>
      </c>
      <c r="I172" s="4" t="str">
        <f t="shared" si="9"/>
        <v/>
      </c>
    </row>
    <row r="173" spans="1:9" x14ac:dyDescent="0.2">
      <c r="A173" s="25"/>
      <c r="B173" s="25"/>
      <c r="C173" s="26" t="str">
        <f>IF(NOT(ISBLANK(A173)),VLOOKUP(A173,Listados!$A$3:$D$1252,2,FALSE),"")</f>
        <v/>
      </c>
      <c r="D173" s="26" t="str">
        <f>IF(NOT(ISBLANK(A173)),VLOOKUP(A173,Listados!$A$3:$D$1252,4,FALSE),"")</f>
        <v/>
      </c>
      <c r="E173" s="5" t="str">
        <f t="shared" si="7"/>
        <v/>
      </c>
      <c r="F173" s="8">
        <f t="shared" si="8"/>
        <v>0</v>
      </c>
      <c r="I173" s="4" t="str">
        <f t="shared" si="9"/>
        <v/>
      </c>
    </row>
    <row r="174" spans="1:9" x14ac:dyDescent="0.2">
      <c r="A174" s="25"/>
      <c r="B174" s="25"/>
      <c r="C174" s="26" t="str">
        <f>IF(NOT(ISBLANK(A174)),VLOOKUP(A174,Listados!$A$3:$D$1252,2,FALSE),"")</f>
        <v/>
      </c>
      <c r="D174" s="26" t="str">
        <f>IF(NOT(ISBLANK(A174)),VLOOKUP(A174,Listados!$A$3:$D$1252,4,FALSE),"")</f>
        <v/>
      </c>
      <c r="E174" s="5" t="str">
        <f t="shared" si="7"/>
        <v/>
      </c>
      <c r="F174" s="8">
        <f t="shared" si="8"/>
        <v>0</v>
      </c>
      <c r="I174" s="4" t="str">
        <f t="shared" si="9"/>
        <v/>
      </c>
    </row>
    <row r="175" spans="1:9" x14ac:dyDescent="0.2">
      <c r="A175" s="25"/>
      <c r="B175" s="25"/>
      <c r="C175" s="26" t="str">
        <f>IF(NOT(ISBLANK(A175)),VLOOKUP(A175,Listados!$A$3:$D$1252,2,FALSE),"")</f>
        <v/>
      </c>
      <c r="D175" s="26" t="str">
        <f>IF(NOT(ISBLANK(A175)),VLOOKUP(A175,Listados!$A$3:$D$1252,4,FALSE),"")</f>
        <v/>
      </c>
      <c r="E175" s="5" t="str">
        <f t="shared" si="7"/>
        <v/>
      </c>
      <c r="F175" s="8">
        <f t="shared" si="8"/>
        <v>0</v>
      </c>
      <c r="I175" s="4" t="str">
        <f t="shared" si="9"/>
        <v/>
      </c>
    </row>
    <row r="176" spans="1:9" x14ac:dyDescent="0.2">
      <c r="A176" s="25"/>
      <c r="B176" s="25"/>
      <c r="C176" s="26" t="str">
        <f>IF(NOT(ISBLANK(A176)),VLOOKUP(A176,Listados!$A$3:$D$1252,2,FALSE),"")</f>
        <v/>
      </c>
      <c r="D176" s="26" t="str">
        <f>IF(NOT(ISBLANK(A176)),VLOOKUP(A176,Listados!$A$3:$D$1252,4,FALSE),"")</f>
        <v/>
      </c>
      <c r="E176" s="5" t="str">
        <f t="shared" si="7"/>
        <v/>
      </c>
      <c r="F176" s="8">
        <f t="shared" si="8"/>
        <v>0</v>
      </c>
      <c r="I176" s="4" t="str">
        <f t="shared" si="9"/>
        <v/>
      </c>
    </row>
    <row r="177" spans="1:9" x14ac:dyDescent="0.2">
      <c r="A177" s="25"/>
      <c r="B177" s="25"/>
      <c r="C177" s="26" t="str">
        <f>IF(NOT(ISBLANK(A177)),VLOOKUP(A177,Listados!$A$3:$D$1252,2,FALSE),"")</f>
        <v/>
      </c>
      <c r="D177" s="26" t="str">
        <f>IF(NOT(ISBLANK(A177)),VLOOKUP(A177,Listados!$A$3:$D$1252,4,FALSE),"")</f>
        <v/>
      </c>
      <c r="E177" s="5" t="str">
        <f t="shared" si="7"/>
        <v/>
      </c>
      <c r="F177" s="8">
        <f t="shared" si="8"/>
        <v>0</v>
      </c>
      <c r="I177" s="4" t="str">
        <f t="shared" si="9"/>
        <v/>
      </c>
    </row>
    <row r="178" spans="1:9" x14ac:dyDescent="0.2">
      <c r="A178" s="25"/>
      <c r="B178" s="25"/>
      <c r="C178" s="26" t="str">
        <f>IF(NOT(ISBLANK(A178)),VLOOKUP(A178,Listados!$A$3:$D$1252,2,FALSE),"")</f>
        <v/>
      </c>
      <c r="D178" s="26" t="str">
        <f>IF(NOT(ISBLANK(A178)),VLOOKUP(A178,Listados!$A$3:$D$1252,4,FALSE),"")</f>
        <v/>
      </c>
      <c r="E178" s="5" t="str">
        <f t="shared" si="7"/>
        <v/>
      </c>
      <c r="F178" s="8">
        <f t="shared" si="8"/>
        <v>0</v>
      </c>
      <c r="I178" s="4" t="str">
        <f t="shared" si="9"/>
        <v/>
      </c>
    </row>
    <row r="179" spans="1:9" x14ac:dyDescent="0.2">
      <c r="A179" s="25"/>
      <c r="B179" s="25"/>
      <c r="C179" s="26" t="str">
        <f>IF(NOT(ISBLANK(A179)),VLOOKUP(A179,Listados!$A$3:$D$1252,2,FALSE),"")</f>
        <v/>
      </c>
      <c r="D179" s="26" t="str">
        <f>IF(NOT(ISBLANK(A179)),VLOOKUP(A179,Listados!$A$3:$D$1252,4,FALSE),"")</f>
        <v/>
      </c>
      <c r="E179" s="5" t="str">
        <f t="shared" si="7"/>
        <v/>
      </c>
      <c r="F179" s="8">
        <f t="shared" si="8"/>
        <v>0</v>
      </c>
      <c r="I179" s="4" t="str">
        <f t="shared" si="9"/>
        <v/>
      </c>
    </row>
    <row r="180" spans="1:9" x14ac:dyDescent="0.2">
      <c r="A180" s="25"/>
      <c r="B180" s="25"/>
      <c r="C180" s="26" t="str">
        <f>IF(NOT(ISBLANK(A180)),VLOOKUP(A180,Listados!$A$3:$D$1252,2,FALSE),"")</f>
        <v/>
      </c>
      <c r="D180" s="26" t="str">
        <f>IF(NOT(ISBLANK(A180)),VLOOKUP(A180,Listados!$A$3:$D$1252,4,FALSE),"")</f>
        <v/>
      </c>
      <c r="E180" s="5" t="str">
        <f t="shared" si="7"/>
        <v/>
      </c>
      <c r="F180" s="8">
        <f t="shared" si="8"/>
        <v>0</v>
      </c>
      <c r="I180" s="4" t="str">
        <f t="shared" si="9"/>
        <v/>
      </c>
    </row>
    <row r="181" spans="1:9" x14ac:dyDescent="0.2">
      <c r="A181" s="25"/>
      <c r="B181" s="25"/>
      <c r="C181" s="26" t="str">
        <f>IF(NOT(ISBLANK(A181)),VLOOKUP(A181,Listados!$A$3:$D$1252,2,FALSE),"")</f>
        <v/>
      </c>
      <c r="D181" s="26" t="str">
        <f>IF(NOT(ISBLANK(A181)),VLOOKUP(A181,Listados!$A$3:$D$1252,4,FALSE),"")</f>
        <v/>
      </c>
      <c r="E181" s="5" t="str">
        <f t="shared" si="7"/>
        <v/>
      </c>
      <c r="F181" s="8">
        <f t="shared" si="8"/>
        <v>0</v>
      </c>
      <c r="I181" s="4" t="str">
        <f t="shared" si="9"/>
        <v/>
      </c>
    </row>
    <row r="182" spans="1:9" x14ac:dyDescent="0.2">
      <c r="A182" s="25"/>
      <c r="B182" s="25"/>
      <c r="C182" s="26" t="str">
        <f>IF(NOT(ISBLANK(A182)),VLOOKUP(A182,Listados!$A$3:$D$1252,2,FALSE),"")</f>
        <v/>
      </c>
      <c r="D182" s="26" t="str">
        <f>IF(NOT(ISBLANK(A182)),VLOOKUP(A182,Listados!$A$3:$D$1252,4,FALSE),"")</f>
        <v/>
      </c>
      <c r="E182" s="5" t="str">
        <f t="shared" si="7"/>
        <v/>
      </c>
      <c r="F182" s="8">
        <f t="shared" si="8"/>
        <v>0</v>
      </c>
      <c r="I182" s="4" t="str">
        <f t="shared" si="9"/>
        <v/>
      </c>
    </row>
    <row r="183" spans="1:9" x14ac:dyDescent="0.2">
      <c r="A183" s="25"/>
      <c r="B183" s="25"/>
      <c r="C183" s="26" t="str">
        <f>IF(NOT(ISBLANK(A183)),VLOOKUP(A183,Listados!$A$3:$D$1252,2,FALSE),"")</f>
        <v/>
      </c>
      <c r="D183" s="26" t="str">
        <f>IF(NOT(ISBLANK(A183)),VLOOKUP(A183,Listados!$A$3:$D$1252,4,FALSE),"")</f>
        <v/>
      </c>
      <c r="E183" s="5" t="str">
        <f t="shared" si="7"/>
        <v/>
      </c>
      <c r="F183" s="8">
        <f t="shared" si="8"/>
        <v>0</v>
      </c>
      <c r="I183" s="4" t="str">
        <f t="shared" si="9"/>
        <v/>
      </c>
    </row>
    <row r="184" spans="1:9" x14ac:dyDescent="0.2">
      <c r="A184" s="25"/>
      <c r="B184" s="25"/>
      <c r="C184" s="26" t="str">
        <f>IF(NOT(ISBLANK(A184)),VLOOKUP(A184,Listados!$A$3:$D$1252,2,FALSE),"")</f>
        <v/>
      </c>
      <c r="D184" s="26" t="str">
        <f>IF(NOT(ISBLANK(A184)),VLOOKUP(A184,Listados!$A$3:$D$1252,4,FALSE),"")</f>
        <v/>
      </c>
      <c r="E184" s="5" t="str">
        <f t="shared" si="7"/>
        <v/>
      </c>
      <c r="F184" s="8">
        <f t="shared" si="8"/>
        <v>0</v>
      </c>
      <c r="I184" s="4" t="str">
        <f t="shared" si="9"/>
        <v/>
      </c>
    </row>
    <row r="185" spans="1:9" x14ac:dyDescent="0.2">
      <c r="A185" s="25"/>
      <c r="B185" s="25"/>
      <c r="C185" s="26" t="str">
        <f>IF(NOT(ISBLANK(A185)),VLOOKUP(A185,Listados!$A$3:$D$1252,2,FALSE),"")</f>
        <v/>
      </c>
      <c r="D185" s="26" t="str">
        <f>IF(NOT(ISBLANK(A185)),VLOOKUP(A185,Listados!$A$3:$D$1252,4,FALSE),"")</f>
        <v/>
      </c>
      <c r="E185" s="5" t="str">
        <f t="shared" si="7"/>
        <v/>
      </c>
      <c r="F185" s="8">
        <f t="shared" si="8"/>
        <v>0</v>
      </c>
      <c r="I185" s="4" t="str">
        <f t="shared" si="9"/>
        <v/>
      </c>
    </row>
    <row r="186" spans="1:9" x14ac:dyDescent="0.2">
      <c r="A186" s="25"/>
      <c r="B186" s="25"/>
      <c r="C186" s="26" t="str">
        <f>IF(NOT(ISBLANK(A186)),VLOOKUP(A186,Listados!$A$3:$D$1252,2,FALSE),"")</f>
        <v/>
      </c>
      <c r="D186" s="26" t="str">
        <f>IF(NOT(ISBLANK(A186)),VLOOKUP(A186,Listados!$A$3:$D$1252,4,FALSE),"")</f>
        <v/>
      </c>
      <c r="E186" s="5" t="str">
        <f t="shared" si="7"/>
        <v/>
      </c>
      <c r="F186" s="8">
        <f t="shared" si="8"/>
        <v>0</v>
      </c>
      <c r="I186" s="4" t="str">
        <f t="shared" si="9"/>
        <v/>
      </c>
    </row>
    <row r="187" spans="1:9" x14ac:dyDescent="0.2">
      <c r="A187" s="25"/>
      <c r="B187" s="25"/>
      <c r="C187" s="26" t="str">
        <f>IF(NOT(ISBLANK(A187)),VLOOKUP(A187,Listados!$A$3:$D$1252,2,FALSE),"")</f>
        <v/>
      </c>
      <c r="D187" s="26" t="str">
        <f>IF(NOT(ISBLANK(A187)),VLOOKUP(A187,Listados!$A$3:$D$1252,4,FALSE),"")</f>
        <v/>
      </c>
      <c r="E187" s="5" t="str">
        <f t="shared" si="7"/>
        <v/>
      </c>
      <c r="F187" s="8">
        <f t="shared" si="8"/>
        <v>0</v>
      </c>
      <c r="I187" s="4" t="str">
        <f t="shared" si="9"/>
        <v/>
      </c>
    </row>
    <row r="188" spans="1:9" x14ac:dyDescent="0.2">
      <c r="A188" s="25"/>
      <c r="B188" s="25"/>
      <c r="C188" s="26" t="str">
        <f>IF(NOT(ISBLANK(A188)),VLOOKUP(A188,Listados!$A$3:$D$1252,2,FALSE),"")</f>
        <v/>
      </c>
      <c r="D188" s="26" t="str">
        <f>IF(NOT(ISBLANK(A188)),VLOOKUP(A188,Listados!$A$3:$D$1252,4,FALSE),"")</f>
        <v/>
      </c>
      <c r="E188" s="5" t="str">
        <f t="shared" si="7"/>
        <v/>
      </c>
      <c r="F188" s="8">
        <f t="shared" si="8"/>
        <v>0</v>
      </c>
      <c r="I188" s="4" t="str">
        <f t="shared" si="9"/>
        <v/>
      </c>
    </row>
    <row r="189" spans="1:9" x14ac:dyDescent="0.2">
      <c r="A189" s="25"/>
      <c r="B189" s="25"/>
      <c r="C189" s="26" t="str">
        <f>IF(NOT(ISBLANK(A189)),VLOOKUP(A189,Listados!$A$3:$D$1252,2,FALSE),"")</f>
        <v/>
      </c>
      <c r="D189" s="26" t="str">
        <f>IF(NOT(ISBLANK(A189)),VLOOKUP(A189,Listados!$A$3:$D$1252,4,FALSE),"")</f>
        <v/>
      </c>
      <c r="E189" s="5" t="str">
        <f t="shared" si="7"/>
        <v/>
      </c>
      <c r="F189" s="8">
        <f t="shared" si="8"/>
        <v>0</v>
      </c>
      <c r="I189" s="4" t="str">
        <f t="shared" si="9"/>
        <v/>
      </c>
    </row>
    <row r="190" spans="1:9" x14ac:dyDescent="0.2">
      <c r="A190" s="25"/>
      <c r="B190" s="25"/>
      <c r="C190" s="26" t="str">
        <f>IF(NOT(ISBLANK(A190)),VLOOKUP(A190,Listados!$A$3:$D$1252,2,FALSE),"")</f>
        <v/>
      </c>
      <c r="D190" s="26" t="str">
        <f>IF(NOT(ISBLANK(A190)),VLOOKUP(A190,Listados!$A$3:$D$1252,4,FALSE),"")</f>
        <v/>
      </c>
      <c r="E190" s="5" t="str">
        <f t="shared" si="7"/>
        <v/>
      </c>
      <c r="F190" s="8">
        <f t="shared" si="8"/>
        <v>0</v>
      </c>
      <c r="I190" s="4" t="str">
        <f t="shared" si="9"/>
        <v/>
      </c>
    </row>
    <row r="191" spans="1:9" x14ac:dyDescent="0.2">
      <c r="A191" s="25"/>
      <c r="B191" s="25"/>
      <c r="C191" s="26" t="str">
        <f>IF(NOT(ISBLANK(A191)),VLOOKUP(A191,Listados!$A$3:$D$1252,2,FALSE),"")</f>
        <v/>
      </c>
      <c r="D191" s="26" t="str">
        <f>IF(NOT(ISBLANK(A191)),VLOOKUP(A191,Listados!$A$3:$D$1252,4,FALSE),"")</f>
        <v/>
      </c>
      <c r="E191" s="5" t="str">
        <f t="shared" si="7"/>
        <v/>
      </c>
      <c r="F191" s="8">
        <f t="shared" si="8"/>
        <v>0</v>
      </c>
      <c r="I191" s="4" t="str">
        <f t="shared" si="9"/>
        <v/>
      </c>
    </row>
    <row r="192" spans="1:9" x14ac:dyDescent="0.2">
      <c r="A192" s="25"/>
      <c r="B192" s="25"/>
      <c r="C192" s="26" t="str">
        <f>IF(NOT(ISBLANK(A192)),VLOOKUP(A192,Listados!$A$3:$D$1252,2,FALSE),"")</f>
        <v/>
      </c>
      <c r="D192" s="26" t="str">
        <f>IF(NOT(ISBLANK(A192)),VLOOKUP(A192,Listados!$A$3:$D$1252,4,FALSE),"")</f>
        <v/>
      </c>
      <c r="E192" s="5" t="str">
        <f t="shared" si="7"/>
        <v/>
      </c>
      <c r="F192" s="8">
        <f t="shared" si="8"/>
        <v>0</v>
      </c>
      <c r="I192" s="4" t="str">
        <f t="shared" si="9"/>
        <v/>
      </c>
    </row>
    <row r="193" spans="1:9" x14ac:dyDescent="0.2">
      <c r="A193" s="25"/>
      <c r="B193" s="25"/>
      <c r="C193" s="26" t="str">
        <f>IF(NOT(ISBLANK(A193)),VLOOKUP(A193,Listados!$A$3:$D$1252,2,FALSE),"")</f>
        <v/>
      </c>
      <c r="D193" s="26" t="str">
        <f>IF(NOT(ISBLANK(A193)),VLOOKUP(A193,Listados!$A$3:$D$1252,4,FALSE),"")</f>
        <v/>
      </c>
      <c r="E193" s="5" t="str">
        <f t="shared" si="7"/>
        <v/>
      </c>
      <c r="F193" s="8">
        <f t="shared" si="8"/>
        <v>0</v>
      </c>
      <c r="I193" s="4" t="str">
        <f t="shared" si="9"/>
        <v/>
      </c>
    </row>
    <row r="194" spans="1:9" x14ac:dyDescent="0.2">
      <c r="A194" s="25"/>
      <c r="B194" s="25"/>
      <c r="C194" s="26" t="str">
        <f>IF(NOT(ISBLANK(A194)),VLOOKUP(A194,Listados!$A$3:$D$1252,2,FALSE),"")</f>
        <v/>
      </c>
      <c r="D194" s="26" t="str">
        <f>IF(NOT(ISBLANK(A194)),VLOOKUP(A194,Listados!$A$3:$D$1252,4,FALSE),"")</f>
        <v/>
      </c>
      <c r="E194" s="5" t="str">
        <f t="shared" si="7"/>
        <v/>
      </c>
      <c r="F194" s="8">
        <f t="shared" si="8"/>
        <v>0</v>
      </c>
      <c r="I194" s="4" t="str">
        <f t="shared" si="9"/>
        <v/>
      </c>
    </row>
    <row r="195" spans="1:9" x14ac:dyDescent="0.2">
      <c r="A195" s="25"/>
      <c r="B195" s="25"/>
      <c r="C195" s="26" t="str">
        <f>IF(NOT(ISBLANK(A195)),VLOOKUP(A195,Listados!$A$3:$D$1252,2,FALSE),"")</f>
        <v/>
      </c>
      <c r="D195" s="26" t="str">
        <f>IF(NOT(ISBLANK(A195)),VLOOKUP(A195,Listados!$A$3:$D$1252,4,FALSE),"")</f>
        <v/>
      </c>
      <c r="E195" s="5" t="str">
        <f t="shared" si="7"/>
        <v/>
      </c>
      <c r="F195" s="8">
        <f t="shared" si="8"/>
        <v>0</v>
      </c>
      <c r="I195" s="4" t="str">
        <f t="shared" si="9"/>
        <v/>
      </c>
    </row>
    <row r="196" spans="1:9" x14ac:dyDescent="0.2">
      <c r="A196" s="25"/>
      <c r="B196" s="25"/>
      <c r="C196" s="26" t="str">
        <f>IF(NOT(ISBLANK(A196)),VLOOKUP(A196,Listados!$A$3:$D$1252,2,FALSE),"")</f>
        <v/>
      </c>
      <c r="D196" s="26" t="str">
        <f>IF(NOT(ISBLANK(A196)),VLOOKUP(A196,Listados!$A$3:$D$1252,4,FALSE),"")</f>
        <v/>
      </c>
      <c r="E196" s="5" t="str">
        <f t="shared" si="7"/>
        <v/>
      </c>
      <c r="F196" s="8">
        <f t="shared" si="8"/>
        <v>0</v>
      </c>
      <c r="I196" s="4" t="str">
        <f t="shared" si="9"/>
        <v/>
      </c>
    </row>
    <row r="197" spans="1:9" x14ac:dyDescent="0.2">
      <c r="A197" s="25"/>
      <c r="B197" s="25"/>
      <c r="C197" s="26" t="str">
        <f>IF(NOT(ISBLANK(A197)),VLOOKUP(A197,Listados!$A$3:$D$1252,2,FALSE),"")</f>
        <v/>
      </c>
      <c r="D197" s="26" t="str">
        <f>IF(NOT(ISBLANK(A197)),VLOOKUP(A197,Listados!$A$3:$D$1252,4,FALSE),"")</f>
        <v/>
      </c>
      <c r="E197" s="5" t="str">
        <f t="shared" si="7"/>
        <v/>
      </c>
      <c r="F197" s="8">
        <f t="shared" si="8"/>
        <v>0</v>
      </c>
      <c r="I197" s="4" t="str">
        <f t="shared" si="9"/>
        <v/>
      </c>
    </row>
    <row r="198" spans="1:9" x14ac:dyDescent="0.2">
      <c r="A198" s="25"/>
      <c r="B198" s="25"/>
      <c r="C198" s="26" t="str">
        <f>IF(NOT(ISBLANK(A198)),VLOOKUP(A198,Listados!$A$3:$D$1252,2,FALSE),"")</f>
        <v/>
      </c>
      <c r="D198" s="26" t="str">
        <f>IF(NOT(ISBLANK(A198)),VLOOKUP(A198,Listados!$A$3:$D$1252,4,FALSE),"")</f>
        <v/>
      </c>
      <c r="E198" s="5" t="str">
        <f t="shared" si="7"/>
        <v/>
      </c>
      <c r="F198" s="8">
        <f t="shared" si="8"/>
        <v>0</v>
      </c>
      <c r="I198" s="4" t="str">
        <f t="shared" si="9"/>
        <v/>
      </c>
    </row>
    <row r="199" spans="1:9" x14ac:dyDescent="0.2">
      <c r="A199" s="25"/>
      <c r="B199" s="25"/>
      <c r="C199" s="26" t="str">
        <f>IF(NOT(ISBLANK(A199)),VLOOKUP(A199,Listados!$A$3:$D$1252,2,FALSE),"")</f>
        <v/>
      </c>
      <c r="D199" s="26" t="str">
        <f>IF(NOT(ISBLANK(A199)),VLOOKUP(A199,Listados!$A$3:$D$1252,4,FALSE),"")</f>
        <v/>
      </c>
      <c r="E199" s="5" t="str">
        <f t="shared" si="7"/>
        <v/>
      </c>
      <c r="F199" s="8">
        <f t="shared" si="8"/>
        <v>0</v>
      </c>
      <c r="I199" s="4" t="str">
        <f t="shared" si="9"/>
        <v/>
      </c>
    </row>
    <row r="200" spans="1:9" x14ac:dyDescent="0.2">
      <c r="A200" s="25"/>
      <c r="B200" s="25"/>
      <c r="C200" s="26" t="str">
        <f>IF(NOT(ISBLANK(A200)),VLOOKUP(A200,Listados!$A$3:$D$1252,2,FALSE),"")</f>
        <v/>
      </c>
      <c r="D200" s="26" t="str">
        <f>IF(NOT(ISBLANK(A200)),VLOOKUP(A200,Listados!$A$3:$D$1252,4,FALSE),"")</f>
        <v/>
      </c>
      <c r="E200" s="5" t="str">
        <f t="shared" si="7"/>
        <v/>
      </c>
      <c r="F200" s="8">
        <f t="shared" si="8"/>
        <v>0</v>
      </c>
      <c r="I200" s="4" t="str">
        <f t="shared" si="9"/>
        <v/>
      </c>
    </row>
    <row r="201" spans="1:9" x14ac:dyDescent="0.2">
      <c r="A201" s="25"/>
      <c r="B201" s="25"/>
      <c r="C201" s="26" t="str">
        <f>IF(NOT(ISBLANK(A201)),VLOOKUP(A201,Listados!$A$3:$D$1252,2,FALSE),"")</f>
        <v/>
      </c>
      <c r="D201" s="26" t="str">
        <f>IF(NOT(ISBLANK(A201)),VLOOKUP(A201,Listados!$A$3:$D$1252,4,FALSE),"")</f>
        <v/>
      </c>
      <c r="E201" s="5" t="str">
        <f t="shared" si="7"/>
        <v/>
      </c>
      <c r="F201" s="8">
        <f t="shared" si="8"/>
        <v>0</v>
      </c>
      <c r="I201" s="4" t="str">
        <f t="shared" si="9"/>
        <v/>
      </c>
    </row>
    <row r="202" spans="1:9" x14ac:dyDescent="0.2">
      <c r="A202" s="25"/>
      <c r="B202" s="25"/>
      <c r="C202" s="26" t="str">
        <f>IF(NOT(ISBLANK(A202)),VLOOKUP(A202,Listados!$A$3:$D$1252,2,FALSE),"")</f>
        <v/>
      </c>
      <c r="D202" s="26" t="str">
        <f>IF(NOT(ISBLANK(A202)),VLOOKUP(A202,Listados!$A$3:$D$1252,4,FALSE),"")</f>
        <v/>
      </c>
      <c r="E202" s="5" t="str">
        <f t="shared" si="7"/>
        <v/>
      </c>
      <c r="F202" s="8">
        <f t="shared" si="8"/>
        <v>0</v>
      </c>
      <c r="I202" s="4" t="str">
        <f t="shared" si="9"/>
        <v/>
      </c>
    </row>
    <row r="203" spans="1:9" x14ac:dyDescent="0.2">
      <c r="A203" s="25"/>
      <c r="B203" s="25"/>
      <c r="C203" s="26" t="str">
        <f>IF(NOT(ISBLANK(A203)),VLOOKUP(A203,Listados!$A$3:$D$1252,2,FALSE),"")</f>
        <v/>
      </c>
      <c r="D203" s="26" t="str">
        <f>IF(NOT(ISBLANK(A203)),VLOOKUP(A203,Listados!$A$3:$D$1252,4,FALSE),"")</f>
        <v/>
      </c>
      <c r="E203" s="5" t="str">
        <f t="shared" si="7"/>
        <v/>
      </c>
      <c r="F203" s="8">
        <f t="shared" si="8"/>
        <v>0</v>
      </c>
      <c r="I203" s="4" t="str">
        <f t="shared" si="9"/>
        <v/>
      </c>
    </row>
    <row r="204" spans="1:9" x14ac:dyDescent="0.2">
      <c r="A204" s="25"/>
      <c r="B204" s="25"/>
      <c r="C204" s="26" t="str">
        <f>IF(NOT(ISBLANK(A204)),VLOOKUP(A204,Listados!$A$3:$D$1252,2,FALSE),"")</f>
        <v/>
      </c>
      <c r="D204" s="26" t="str">
        <f>IF(NOT(ISBLANK(A204)),VLOOKUP(A204,Listados!$A$3:$D$1252,4,FALSE),"")</f>
        <v/>
      </c>
      <c r="E204" s="5" t="str">
        <f t="shared" si="7"/>
        <v/>
      </c>
      <c r="F204" s="8">
        <f t="shared" si="8"/>
        <v>0</v>
      </c>
      <c r="I204" s="4" t="str">
        <f t="shared" si="9"/>
        <v/>
      </c>
    </row>
    <row r="205" spans="1:9" x14ac:dyDescent="0.2">
      <c r="A205" s="25"/>
      <c r="B205" s="25"/>
      <c r="C205" s="26" t="str">
        <f>IF(NOT(ISBLANK(A205)),VLOOKUP(A205,Listados!$A$3:$D$1252,2,FALSE),"")</f>
        <v/>
      </c>
      <c r="D205" s="26" t="str">
        <f>IF(NOT(ISBLANK(A205)),VLOOKUP(A205,Listados!$A$3:$D$1252,4,FALSE),"")</f>
        <v/>
      </c>
      <c r="E205" s="5" t="str">
        <f t="shared" si="7"/>
        <v/>
      </c>
      <c r="F205" s="8">
        <f t="shared" si="8"/>
        <v>0</v>
      </c>
      <c r="I205" s="4" t="str">
        <f t="shared" si="9"/>
        <v/>
      </c>
    </row>
    <row r="206" spans="1:9" x14ac:dyDescent="0.2">
      <c r="A206" s="25"/>
      <c r="B206" s="25"/>
      <c r="C206" s="26" t="str">
        <f>IF(NOT(ISBLANK(A206)),VLOOKUP(A206,Listados!$A$3:$D$1252,2,FALSE),"")</f>
        <v/>
      </c>
      <c r="D206" s="26" t="str">
        <f>IF(NOT(ISBLANK(A206)),VLOOKUP(A206,Listados!$A$3:$D$1252,4,FALSE),"")</f>
        <v/>
      </c>
      <c r="E206" s="5" t="str">
        <f t="shared" si="7"/>
        <v/>
      </c>
      <c r="F206" s="8">
        <f t="shared" si="8"/>
        <v>0</v>
      </c>
      <c r="I206" s="4" t="str">
        <f t="shared" si="9"/>
        <v/>
      </c>
    </row>
    <row r="207" spans="1:9" x14ac:dyDescent="0.2">
      <c r="A207" s="25"/>
      <c r="B207" s="25"/>
      <c r="C207" s="26" t="str">
        <f>IF(NOT(ISBLANK(A207)),VLOOKUP(A207,Listados!$A$3:$D$1252,2,FALSE),"")</f>
        <v/>
      </c>
      <c r="D207" s="26" t="str">
        <f>IF(NOT(ISBLANK(A207)),VLOOKUP(A207,Listados!$A$3:$D$1252,4,FALSE),"")</f>
        <v/>
      </c>
      <c r="E207" s="5" t="str">
        <f t="shared" si="7"/>
        <v/>
      </c>
      <c r="F207" s="8">
        <f t="shared" si="8"/>
        <v>0</v>
      </c>
      <c r="I207" s="4" t="str">
        <f t="shared" si="9"/>
        <v/>
      </c>
    </row>
    <row r="208" spans="1:9" x14ac:dyDescent="0.2">
      <c r="A208" s="25"/>
      <c r="B208" s="25"/>
      <c r="C208" s="26" t="str">
        <f>IF(NOT(ISBLANK(A208)),VLOOKUP(A208,Listados!$A$3:$D$1252,2,FALSE),"")</f>
        <v/>
      </c>
      <c r="D208" s="26" t="str">
        <f>IF(NOT(ISBLANK(A208)),VLOOKUP(A208,Listados!$A$3:$D$1252,4,FALSE),"")</f>
        <v/>
      </c>
      <c r="E208" s="5" t="str">
        <f t="shared" ref="E208:E264" si="10">IF(ISERROR(C208),"El código de ciudad no es válido",IF(AND(NOT(ISNUMBER(B208)),NOT(A208="")),"Escriba la muestra para esta ciudad",""))</f>
        <v/>
      </c>
      <c r="F208" s="8">
        <f t="shared" ref="F208:F264" si="11">IF(NOT(E208=""),1,0)</f>
        <v>0</v>
      </c>
      <c r="I208" s="4" t="str">
        <f t="shared" ref="I208:I264" si="12">IF(AND(NOT(A208=""),ISNUMBER(B208)),"EXEC [dbo].[IQ_DistribuirMuestra_WORK] "&amp;A208&amp;", "&amp;B208&amp;", "&amp;$I$8&amp;", "&amp;$I$11&amp;", "&amp;$I$10&amp;", "&amp;$I$9&amp;";","")</f>
        <v/>
      </c>
    </row>
    <row r="209" spans="1:9" x14ac:dyDescent="0.2">
      <c r="A209" s="25"/>
      <c r="B209" s="25"/>
      <c r="C209" s="26" t="str">
        <f>IF(NOT(ISBLANK(A209)),VLOOKUP(A209,Listados!$A$3:$D$1252,2,FALSE),"")</f>
        <v/>
      </c>
      <c r="D209" s="26" t="str">
        <f>IF(NOT(ISBLANK(A209)),VLOOKUP(A209,Listados!$A$3:$D$1252,4,FALSE),"")</f>
        <v/>
      </c>
      <c r="E209" s="5" t="str">
        <f t="shared" si="10"/>
        <v/>
      </c>
      <c r="F209" s="8">
        <f t="shared" si="11"/>
        <v>0</v>
      </c>
      <c r="I209" s="4" t="str">
        <f t="shared" si="12"/>
        <v/>
      </c>
    </row>
    <row r="210" spans="1:9" x14ac:dyDescent="0.2">
      <c r="A210" s="25"/>
      <c r="B210" s="25"/>
      <c r="C210" s="26" t="str">
        <f>IF(NOT(ISBLANK(A210)),VLOOKUP(A210,Listados!$A$3:$D$1252,2,FALSE),"")</f>
        <v/>
      </c>
      <c r="D210" s="26" t="str">
        <f>IF(NOT(ISBLANK(A210)),VLOOKUP(A210,Listados!$A$3:$D$1252,4,FALSE),"")</f>
        <v/>
      </c>
      <c r="E210" s="5" t="str">
        <f t="shared" si="10"/>
        <v/>
      </c>
      <c r="F210" s="8">
        <f t="shared" si="11"/>
        <v>0</v>
      </c>
      <c r="I210" s="4" t="str">
        <f t="shared" si="12"/>
        <v/>
      </c>
    </row>
    <row r="211" spans="1:9" x14ac:dyDescent="0.2">
      <c r="A211" s="25"/>
      <c r="B211" s="25"/>
      <c r="C211" s="26" t="str">
        <f>IF(NOT(ISBLANK(A211)),VLOOKUP(A211,Listados!$A$3:$D$1252,2,FALSE),"")</f>
        <v/>
      </c>
      <c r="D211" s="26" t="str">
        <f>IF(NOT(ISBLANK(A211)),VLOOKUP(A211,Listados!$A$3:$D$1252,4,FALSE),"")</f>
        <v/>
      </c>
      <c r="E211" s="5" t="str">
        <f t="shared" si="10"/>
        <v/>
      </c>
      <c r="F211" s="8">
        <f t="shared" si="11"/>
        <v>0</v>
      </c>
      <c r="I211" s="4" t="str">
        <f t="shared" si="12"/>
        <v/>
      </c>
    </row>
    <row r="212" spans="1:9" x14ac:dyDescent="0.2">
      <c r="A212" s="25"/>
      <c r="B212" s="25"/>
      <c r="C212" s="26" t="str">
        <f>IF(NOT(ISBLANK(A212)),VLOOKUP(A212,Listados!$A$3:$D$1252,2,FALSE),"")</f>
        <v/>
      </c>
      <c r="D212" s="26" t="str">
        <f>IF(NOT(ISBLANK(A212)),VLOOKUP(A212,Listados!$A$3:$D$1252,4,FALSE),"")</f>
        <v/>
      </c>
      <c r="E212" s="5" t="str">
        <f t="shared" si="10"/>
        <v/>
      </c>
      <c r="F212" s="8">
        <f t="shared" si="11"/>
        <v>0</v>
      </c>
      <c r="I212" s="4" t="str">
        <f t="shared" si="12"/>
        <v/>
      </c>
    </row>
    <row r="213" spans="1:9" x14ac:dyDescent="0.2">
      <c r="A213" s="25"/>
      <c r="B213" s="25"/>
      <c r="C213" s="26" t="str">
        <f>IF(NOT(ISBLANK(A213)),VLOOKUP(A213,Listados!$A$3:$D$1252,2,FALSE),"")</f>
        <v/>
      </c>
      <c r="D213" s="26" t="str">
        <f>IF(NOT(ISBLANK(A213)),VLOOKUP(A213,Listados!$A$3:$D$1252,4,FALSE),"")</f>
        <v/>
      </c>
      <c r="E213" s="5" t="str">
        <f t="shared" si="10"/>
        <v/>
      </c>
      <c r="F213" s="8">
        <f t="shared" si="11"/>
        <v>0</v>
      </c>
      <c r="I213" s="4" t="str">
        <f t="shared" si="12"/>
        <v/>
      </c>
    </row>
    <row r="214" spans="1:9" x14ac:dyDescent="0.2">
      <c r="A214" s="25"/>
      <c r="B214" s="25"/>
      <c r="C214" s="26" t="str">
        <f>IF(NOT(ISBLANK(A214)),VLOOKUP(A214,Listados!$A$3:$D$1252,2,FALSE),"")</f>
        <v/>
      </c>
      <c r="D214" s="26" t="str">
        <f>IF(NOT(ISBLANK(A214)),VLOOKUP(A214,Listados!$A$3:$D$1252,4,FALSE),"")</f>
        <v/>
      </c>
      <c r="E214" s="5" t="str">
        <f t="shared" si="10"/>
        <v/>
      </c>
      <c r="F214" s="8">
        <f t="shared" si="11"/>
        <v>0</v>
      </c>
      <c r="I214" s="4" t="str">
        <f t="shared" si="12"/>
        <v/>
      </c>
    </row>
    <row r="215" spans="1:9" x14ac:dyDescent="0.2">
      <c r="A215" s="25"/>
      <c r="B215" s="25"/>
      <c r="C215" s="26" t="str">
        <f>IF(NOT(ISBLANK(A215)),VLOOKUP(A215,Listados!$A$3:$D$1252,2,FALSE),"")</f>
        <v/>
      </c>
      <c r="D215" s="26" t="str">
        <f>IF(NOT(ISBLANK(A215)),VLOOKUP(A215,Listados!$A$3:$D$1252,4,FALSE),"")</f>
        <v/>
      </c>
      <c r="E215" s="5" t="str">
        <f t="shared" si="10"/>
        <v/>
      </c>
      <c r="F215" s="8">
        <f t="shared" si="11"/>
        <v>0</v>
      </c>
      <c r="I215" s="4" t="str">
        <f t="shared" si="12"/>
        <v/>
      </c>
    </row>
    <row r="216" spans="1:9" x14ac:dyDescent="0.2">
      <c r="A216" s="25"/>
      <c r="B216" s="25"/>
      <c r="C216" s="26" t="str">
        <f>IF(NOT(ISBLANK(A216)),VLOOKUP(A216,Listados!$A$3:$D$1252,2,FALSE),"")</f>
        <v/>
      </c>
      <c r="D216" s="26" t="str">
        <f>IF(NOT(ISBLANK(A216)),VLOOKUP(A216,Listados!$A$3:$D$1252,4,FALSE),"")</f>
        <v/>
      </c>
      <c r="E216" s="5" t="str">
        <f t="shared" si="10"/>
        <v/>
      </c>
      <c r="F216" s="8">
        <f t="shared" si="11"/>
        <v>0</v>
      </c>
      <c r="I216" s="4" t="str">
        <f t="shared" si="12"/>
        <v/>
      </c>
    </row>
    <row r="217" spans="1:9" x14ac:dyDescent="0.2">
      <c r="A217" s="25"/>
      <c r="B217" s="25"/>
      <c r="C217" s="26" t="str">
        <f>IF(NOT(ISBLANK(A217)),VLOOKUP(A217,Listados!$A$3:$D$1252,2,FALSE),"")</f>
        <v/>
      </c>
      <c r="D217" s="26" t="str">
        <f>IF(NOT(ISBLANK(A217)),VLOOKUP(A217,Listados!$A$3:$D$1252,4,FALSE),"")</f>
        <v/>
      </c>
      <c r="E217" s="5" t="str">
        <f t="shared" si="10"/>
        <v/>
      </c>
      <c r="F217" s="8">
        <f t="shared" si="11"/>
        <v>0</v>
      </c>
      <c r="I217" s="4" t="str">
        <f t="shared" si="12"/>
        <v/>
      </c>
    </row>
    <row r="218" spans="1:9" x14ac:dyDescent="0.2">
      <c r="A218" s="25"/>
      <c r="B218" s="25"/>
      <c r="C218" s="26" t="str">
        <f>IF(NOT(ISBLANK(A218)),VLOOKUP(A218,Listados!$A$3:$D$1252,2,FALSE),"")</f>
        <v/>
      </c>
      <c r="D218" s="26" t="str">
        <f>IF(NOT(ISBLANK(A218)),VLOOKUP(A218,Listados!$A$3:$D$1252,4,FALSE),"")</f>
        <v/>
      </c>
      <c r="E218" s="5" t="str">
        <f t="shared" si="10"/>
        <v/>
      </c>
      <c r="F218" s="8">
        <f t="shared" si="11"/>
        <v>0</v>
      </c>
      <c r="I218" s="4" t="str">
        <f t="shared" si="12"/>
        <v/>
      </c>
    </row>
    <row r="219" spans="1:9" x14ac:dyDescent="0.2">
      <c r="A219" s="25"/>
      <c r="B219" s="25"/>
      <c r="C219" s="26" t="str">
        <f>IF(NOT(ISBLANK(A219)),VLOOKUP(A219,Listados!$A$3:$D$1252,2,FALSE),"")</f>
        <v/>
      </c>
      <c r="D219" s="26" t="str">
        <f>IF(NOT(ISBLANK(A219)),VLOOKUP(A219,Listados!$A$3:$D$1252,4,FALSE),"")</f>
        <v/>
      </c>
      <c r="E219" s="5" t="str">
        <f t="shared" si="10"/>
        <v/>
      </c>
      <c r="F219" s="8">
        <f t="shared" si="11"/>
        <v>0</v>
      </c>
      <c r="I219" s="4" t="str">
        <f t="shared" si="12"/>
        <v/>
      </c>
    </row>
    <row r="220" spans="1:9" x14ac:dyDescent="0.2">
      <c r="A220" s="25"/>
      <c r="B220" s="25"/>
      <c r="C220" s="26" t="str">
        <f>IF(NOT(ISBLANK(A220)),VLOOKUP(A220,Listados!$A$3:$D$1252,2,FALSE),"")</f>
        <v/>
      </c>
      <c r="D220" s="26" t="str">
        <f>IF(NOT(ISBLANK(A220)),VLOOKUP(A220,Listados!$A$3:$D$1252,4,FALSE),"")</f>
        <v/>
      </c>
      <c r="E220" s="5" t="str">
        <f t="shared" si="10"/>
        <v/>
      </c>
      <c r="F220" s="8">
        <f t="shared" si="11"/>
        <v>0</v>
      </c>
      <c r="I220" s="4" t="str">
        <f t="shared" si="12"/>
        <v/>
      </c>
    </row>
    <row r="221" spans="1:9" x14ac:dyDescent="0.2">
      <c r="A221" s="25"/>
      <c r="B221" s="25"/>
      <c r="C221" s="26" t="str">
        <f>IF(NOT(ISBLANK(A221)),VLOOKUP(A221,Listados!$A$3:$D$1252,2,FALSE),"")</f>
        <v/>
      </c>
      <c r="D221" s="26" t="str">
        <f>IF(NOT(ISBLANK(A221)),VLOOKUP(A221,Listados!$A$3:$D$1252,4,FALSE),"")</f>
        <v/>
      </c>
      <c r="E221" s="5" t="str">
        <f t="shared" si="10"/>
        <v/>
      </c>
      <c r="F221" s="8">
        <f t="shared" si="11"/>
        <v>0</v>
      </c>
      <c r="I221" s="4" t="str">
        <f t="shared" si="12"/>
        <v/>
      </c>
    </row>
    <row r="222" spans="1:9" x14ac:dyDescent="0.2">
      <c r="A222" s="25"/>
      <c r="B222" s="25"/>
      <c r="C222" s="26" t="str">
        <f>IF(NOT(ISBLANK(A222)),VLOOKUP(A222,Listados!$A$3:$D$1252,2,FALSE),"")</f>
        <v/>
      </c>
      <c r="D222" s="26" t="str">
        <f>IF(NOT(ISBLANK(A222)),VLOOKUP(A222,Listados!$A$3:$D$1252,4,FALSE),"")</f>
        <v/>
      </c>
      <c r="E222" s="5" t="str">
        <f t="shared" si="10"/>
        <v/>
      </c>
      <c r="F222" s="8">
        <f t="shared" si="11"/>
        <v>0</v>
      </c>
      <c r="I222" s="4" t="str">
        <f t="shared" si="12"/>
        <v/>
      </c>
    </row>
    <row r="223" spans="1:9" x14ac:dyDescent="0.2">
      <c r="A223" s="25"/>
      <c r="B223" s="25"/>
      <c r="C223" s="26" t="str">
        <f>IF(NOT(ISBLANK(A223)),VLOOKUP(A223,Listados!$A$3:$D$1252,2,FALSE),"")</f>
        <v/>
      </c>
      <c r="D223" s="26" t="str">
        <f>IF(NOT(ISBLANK(A223)),VLOOKUP(A223,Listados!$A$3:$D$1252,4,FALSE),"")</f>
        <v/>
      </c>
      <c r="E223" s="5" t="str">
        <f t="shared" si="10"/>
        <v/>
      </c>
      <c r="F223" s="8">
        <f t="shared" si="11"/>
        <v>0</v>
      </c>
      <c r="I223" s="4" t="str">
        <f t="shared" si="12"/>
        <v/>
      </c>
    </row>
    <row r="224" spans="1:9" x14ac:dyDescent="0.2">
      <c r="A224" s="25"/>
      <c r="B224" s="25"/>
      <c r="C224" s="26" t="str">
        <f>IF(NOT(ISBLANK(A224)),VLOOKUP(A224,Listados!$A$3:$D$1252,2,FALSE),"")</f>
        <v/>
      </c>
      <c r="D224" s="26" t="str">
        <f>IF(NOT(ISBLANK(A224)),VLOOKUP(A224,Listados!$A$3:$D$1252,4,FALSE),"")</f>
        <v/>
      </c>
      <c r="E224" s="5" t="str">
        <f t="shared" si="10"/>
        <v/>
      </c>
      <c r="F224" s="8">
        <f t="shared" si="11"/>
        <v>0</v>
      </c>
      <c r="I224" s="4" t="str">
        <f t="shared" si="12"/>
        <v/>
      </c>
    </row>
    <row r="225" spans="1:9" x14ac:dyDescent="0.2">
      <c r="A225" s="25"/>
      <c r="B225" s="25"/>
      <c r="C225" s="26" t="str">
        <f>IF(NOT(ISBLANK(A225)),VLOOKUP(A225,Listados!$A$3:$D$1252,2,FALSE),"")</f>
        <v/>
      </c>
      <c r="D225" s="26" t="str">
        <f>IF(NOT(ISBLANK(A225)),VLOOKUP(A225,Listados!$A$3:$D$1252,4,FALSE),"")</f>
        <v/>
      </c>
      <c r="E225" s="5" t="str">
        <f t="shared" si="10"/>
        <v/>
      </c>
      <c r="F225" s="8">
        <f t="shared" si="11"/>
        <v>0</v>
      </c>
      <c r="I225" s="4" t="str">
        <f t="shared" si="12"/>
        <v/>
      </c>
    </row>
    <row r="226" spans="1:9" x14ac:dyDescent="0.2">
      <c r="A226" s="25"/>
      <c r="B226" s="25"/>
      <c r="C226" s="26" t="str">
        <f>IF(NOT(ISBLANK(A226)),VLOOKUP(A226,Listados!$A$3:$D$1252,2,FALSE),"")</f>
        <v/>
      </c>
      <c r="D226" s="26" t="str">
        <f>IF(NOT(ISBLANK(A226)),VLOOKUP(A226,Listados!$A$3:$D$1252,4,FALSE),"")</f>
        <v/>
      </c>
      <c r="E226" s="5" t="str">
        <f t="shared" si="10"/>
        <v/>
      </c>
      <c r="F226" s="8">
        <f t="shared" si="11"/>
        <v>0</v>
      </c>
      <c r="I226" s="4" t="str">
        <f t="shared" si="12"/>
        <v/>
      </c>
    </row>
    <row r="227" spans="1:9" x14ac:dyDescent="0.2">
      <c r="A227" s="25"/>
      <c r="B227" s="25"/>
      <c r="C227" s="26" t="str">
        <f>IF(NOT(ISBLANK(A227)),VLOOKUP(A227,Listados!$A$3:$D$1252,2,FALSE),"")</f>
        <v/>
      </c>
      <c r="D227" s="26" t="str">
        <f>IF(NOT(ISBLANK(A227)),VLOOKUP(A227,Listados!$A$3:$D$1252,4,FALSE),"")</f>
        <v/>
      </c>
      <c r="E227" s="5" t="str">
        <f t="shared" si="10"/>
        <v/>
      </c>
      <c r="F227" s="8">
        <f t="shared" si="11"/>
        <v>0</v>
      </c>
      <c r="I227" s="4" t="str">
        <f t="shared" si="12"/>
        <v/>
      </c>
    </row>
    <row r="228" spans="1:9" x14ac:dyDescent="0.2">
      <c r="A228" s="25"/>
      <c r="B228" s="25"/>
      <c r="C228" s="26" t="str">
        <f>IF(NOT(ISBLANK(A228)),VLOOKUP(A228,Listados!$A$3:$D$1252,2,FALSE),"")</f>
        <v/>
      </c>
      <c r="D228" s="26" t="str">
        <f>IF(NOT(ISBLANK(A228)),VLOOKUP(A228,Listados!$A$3:$D$1252,4,FALSE),"")</f>
        <v/>
      </c>
      <c r="E228" s="5" t="str">
        <f t="shared" si="10"/>
        <v/>
      </c>
      <c r="F228" s="8">
        <f t="shared" si="11"/>
        <v>0</v>
      </c>
      <c r="I228" s="4" t="str">
        <f t="shared" si="12"/>
        <v/>
      </c>
    </row>
    <row r="229" spans="1:9" x14ac:dyDescent="0.2">
      <c r="A229" s="25"/>
      <c r="B229" s="25"/>
      <c r="C229" s="26" t="str">
        <f>IF(NOT(ISBLANK(A229)),VLOOKUP(A229,Listados!$A$3:$D$1252,2,FALSE),"")</f>
        <v/>
      </c>
      <c r="D229" s="26" t="str">
        <f>IF(NOT(ISBLANK(A229)),VLOOKUP(A229,Listados!$A$3:$D$1252,4,FALSE),"")</f>
        <v/>
      </c>
      <c r="E229" s="5" t="str">
        <f t="shared" si="10"/>
        <v/>
      </c>
      <c r="F229" s="8">
        <f t="shared" si="11"/>
        <v>0</v>
      </c>
      <c r="I229" s="4" t="str">
        <f t="shared" si="12"/>
        <v/>
      </c>
    </row>
    <row r="230" spans="1:9" x14ac:dyDescent="0.2">
      <c r="A230" s="25"/>
      <c r="B230" s="25"/>
      <c r="C230" s="26" t="str">
        <f>IF(NOT(ISBLANK(A230)),VLOOKUP(A230,Listados!$A$3:$D$1252,2,FALSE),"")</f>
        <v/>
      </c>
      <c r="D230" s="26" t="str">
        <f>IF(NOT(ISBLANK(A230)),VLOOKUP(A230,Listados!$A$3:$D$1252,4,FALSE),"")</f>
        <v/>
      </c>
      <c r="E230" s="5" t="str">
        <f t="shared" si="10"/>
        <v/>
      </c>
      <c r="F230" s="8">
        <f t="shared" si="11"/>
        <v>0</v>
      </c>
      <c r="I230" s="4" t="str">
        <f t="shared" si="12"/>
        <v/>
      </c>
    </row>
    <row r="231" spans="1:9" x14ac:dyDescent="0.2">
      <c r="A231" s="25"/>
      <c r="B231" s="25"/>
      <c r="C231" s="26" t="str">
        <f>IF(NOT(ISBLANK(A231)),VLOOKUP(A231,Listados!$A$3:$D$1252,2,FALSE),"")</f>
        <v/>
      </c>
      <c r="D231" s="26" t="str">
        <f>IF(NOT(ISBLANK(A231)),VLOOKUP(A231,Listados!$A$3:$D$1252,4,FALSE),"")</f>
        <v/>
      </c>
      <c r="E231" s="5" t="str">
        <f t="shared" si="10"/>
        <v/>
      </c>
      <c r="F231" s="8">
        <f t="shared" si="11"/>
        <v>0</v>
      </c>
      <c r="I231" s="4" t="str">
        <f t="shared" si="12"/>
        <v/>
      </c>
    </row>
    <row r="232" spans="1:9" x14ac:dyDescent="0.2">
      <c r="A232" s="25"/>
      <c r="B232" s="25"/>
      <c r="C232" s="26" t="str">
        <f>IF(NOT(ISBLANK(A232)),VLOOKUP(A232,Listados!$A$3:$D$1252,2,FALSE),"")</f>
        <v/>
      </c>
      <c r="D232" s="26" t="str">
        <f>IF(NOT(ISBLANK(A232)),VLOOKUP(A232,Listados!$A$3:$D$1252,4,FALSE),"")</f>
        <v/>
      </c>
      <c r="E232" s="5" t="str">
        <f t="shared" si="10"/>
        <v/>
      </c>
      <c r="F232" s="8">
        <f t="shared" si="11"/>
        <v>0</v>
      </c>
      <c r="I232" s="4" t="str">
        <f t="shared" si="12"/>
        <v/>
      </c>
    </row>
    <row r="233" spans="1:9" x14ac:dyDescent="0.2">
      <c r="A233" s="25"/>
      <c r="B233" s="25"/>
      <c r="C233" s="26" t="str">
        <f>IF(NOT(ISBLANK(A233)),VLOOKUP(A233,Listados!$A$3:$D$1252,2,FALSE),"")</f>
        <v/>
      </c>
      <c r="D233" s="26" t="str">
        <f>IF(NOT(ISBLANK(A233)),VLOOKUP(A233,Listados!$A$3:$D$1252,4,FALSE),"")</f>
        <v/>
      </c>
      <c r="E233" s="5" t="str">
        <f t="shared" si="10"/>
        <v/>
      </c>
      <c r="F233" s="8">
        <f t="shared" si="11"/>
        <v>0</v>
      </c>
      <c r="I233" s="4" t="str">
        <f t="shared" si="12"/>
        <v/>
      </c>
    </row>
    <row r="234" spans="1:9" x14ac:dyDescent="0.2">
      <c r="A234" s="25"/>
      <c r="B234" s="25"/>
      <c r="C234" s="26" t="str">
        <f>IF(NOT(ISBLANK(A234)),VLOOKUP(A234,Listados!$A$3:$D$1252,2,FALSE),"")</f>
        <v/>
      </c>
      <c r="D234" s="26" t="str">
        <f>IF(NOT(ISBLANK(A234)),VLOOKUP(A234,Listados!$A$3:$D$1252,4,FALSE),"")</f>
        <v/>
      </c>
      <c r="E234" s="5" t="str">
        <f t="shared" si="10"/>
        <v/>
      </c>
      <c r="F234" s="8">
        <f t="shared" si="11"/>
        <v>0</v>
      </c>
      <c r="I234" s="4" t="str">
        <f t="shared" si="12"/>
        <v/>
      </c>
    </row>
    <row r="235" spans="1:9" x14ac:dyDescent="0.2">
      <c r="A235" s="25"/>
      <c r="B235" s="25"/>
      <c r="C235" s="26" t="str">
        <f>IF(NOT(ISBLANK(A235)),VLOOKUP(A235,Listados!$A$3:$D$1252,2,FALSE),"")</f>
        <v/>
      </c>
      <c r="D235" s="26" t="str">
        <f>IF(NOT(ISBLANK(A235)),VLOOKUP(A235,Listados!$A$3:$D$1252,4,FALSE),"")</f>
        <v/>
      </c>
      <c r="E235" s="5" t="str">
        <f t="shared" si="10"/>
        <v/>
      </c>
      <c r="F235" s="8">
        <f t="shared" si="11"/>
        <v>0</v>
      </c>
      <c r="I235" s="4" t="str">
        <f t="shared" si="12"/>
        <v/>
      </c>
    </row>
    <row r="236" spans="1:9" x14ac:dyDescent="0.2">
      <c r="A236" s="25"/>
      <c r="B236" s="25"/>
      <c r="C236" s="26" t="str">
        <f>IF(NOT(ISBLANK(A236)),VLOOKUP(A236,Listados!$A$3:$D$1252,2,FALSE),"")</f>
        <v/>
      </c>
      <c r="D236" s="26" t="str">
        <f>IF(NOT(ISBLANK(A236)),VLOOKUP(A236,Listados!$A$3:$D$1252,4,FALSE),"")</f>
        <v/>
      </c>
      <c r="E236" s="5" t="str">
        <f t="shared" si="10"/>
        <v/>
      </c>
      <c r="F236" s="8">
        <f t="shared" si="11"/>
        <v>0</v>
      </c>
      <c r="I236" s="4" t="str">
        <f t="shared" si="12"/>
        <v/>
      </c>
    </row>
    <row r="237" spans="1:9" x14ac:dyDescent="0.2">
      <c r="A237" s="25"/>
      <c r="B237" s="25"/>
      <c r="C237" s="26" t="str">
        <f>IF(NOT(ISBLANK(A237)),VLOOKUP(A237,Listados!$A$3:$D$1252,2,FALSE),"")</f>
        <v/>
      </c>
      <c r="D237" s="26" t="str">
        <f>IF(NOT(ISBLANK(A237)),VLOOKUP(A237,Listados!$A$3:$D$1252,4,FALSE),"")</f>
        <v/>
      </c>
      <c r="E237" s="5" t="str">
        <f t="shared" si="10"/>
        <v/>
      </c>
      <c r="F237" s="8">
        <f t="shared" si="11"/>
        <v>0</v>
      </c>
      <c r="I237" s="4" t="str">
        <f t="shared" si="12"/>
        <v/>
      </c>
    </row>
    <row r="238" spans="1:9" x14ac:dyDescent="0.2">
      <c r="A238" s="25"/>
      <c r="B238" s="25"/>
      <c r="C238" s="26" t="str">
        <f>IF(NOT(ISBLANK(A238)),VLOOKUP(A238,Listados!$A$3:$D$1252,2,FALSE),"")</f>
        <v/>
      </c>
      <c r="D238" s="26" t="str">
        <f>IF(NOT(ISBLANK(A238)),VLOOKUP(A238,Listados!$A$3:$D$1252,4,FALSE),"")</f>
        <v/>
      </c>
      <c r="E238" s="5" t="str">
        <f t="shared" si="10"/>
        <v/>
      </c>
      <c r="F238" s="8">
        <f t="shared" si="11"/>
        <v>0</v>
      </c>
      <c r="I238" s="4" t="str">
        <f t="shared" si="12"/>
        <v/>
      </c>
    </row>
    <row r="239" spans="1:9" x14ac:dyDescent="0.2">
      <c r="A239" s="25"/>
      <c r="B239" s="25"/>
      <c r="C239" s="26" t="str">
        <f>IF(NOT(ISBLANK(A239)),VLOOKUP(A239,Listados!$A$3:$D$1252,2,FALSE),"")</f>
        <v/>
      </c>
      <c r="D239" s="26" t="str">
        <f>IF(NOT(ISBLANK(A239)),VLOOKUP(A239,Listados!$A$3:$D$1252,4,FALSE),"")</f>
        <v/>
      </c>
      <c r="E239" s="5" t="str">
        <f t="shared" si="10"/>
        <v/>
      </c>
      <c r="F239" s="8">
        <f t="shared" si="11"/>
        <v>0</v>
      </c>
      <c r="I239" s="4" t="str">
        <f t="shared" si="12"/>
        <v/>
      </c>
    </row>
    <row r="240" spans="1:9" x14ac:dyDescent="0.2">
      <c r="A240" s="25"/>
      <c r="B240" s="25"/>
      <c r="C240" s="26" t="str">
        <f>IF(NOT(ISBLANK(A240)),VLOOKUP(A240,Listados!$A$3:$D$1252,2,FALSE),"")</f>
        <v/>
      </c>
      <c r="D240" s="26" t="str">
        <f>IF(NOT(ISBLANK(A240)),VLOOKUP(A240,Listados!$A$3:$D$1252,4,FALSE),"")</f>
        <v/>
      </c>
      <c r="E240" s="5" t="str">
        <f t="shared" si="10"/>
        <v/>
      </c>
      <c r="F240" s="8">
        <f t="shared" si="11"/>
        <v>0</v>
      </c>
      <c r="I240" s="4" t="str">
        <f t="shared" si="12"/>
        <v/>
      </c>
    </row>
    <row r="241" spans="1:9" x14ac:dyDescent="0.2">
      <c r="A241" s="25"/>
      <c r="B241" s="25"/>
      <c r="C241" s="26" t="str">
        <f>IF(NOT(ISBLANK(A241)),VLOOKUP(A241,Listados!$A$3:$D$1252,2,FALSE),"")</f>
        <v/>
      </c>
      <c r="D241" s="26" t="str">
        <f>IF(NOT(ISBLANK(A241)),VLOOKUP(A241,Listados!$A$3:$D$1252,4,FALSE),"")</f>
        <v/>
      </c>
      <c r="E241" s="5" t="str">
        <f t="shared" si="10"/>
        <v/>
      </c>
      <c r="F241" s="8">
        <f t="shared" si="11"/>
        <v>0</v>
      </c>
      <c r="I241" s="4" t="str">
        <f t="shared" si="12"/>
        <v/>
      </c>
    </row>
    <row r="242" spans="1:9" x14ac:dyDescent="0.2">
      <c r="A242" s="25"/>
      <c r="B242" s="25"/>
      <c r="C242" s="26" t="str">
        <f>IF(NOT(ISBLANK(A242)),VLOOKUP(A242,Listados!$A$3:$D$1252,2,FALSE),"")</f>
        <v/>
      </c>
      <c r="D242" s="26" t="str">
        <f>IF(NOT(ISBLANK(A242)),VLOOKUP(A242,Listados!$A$3:$D$1252,4,FALSE),"")</f>
        <v/>
      </c>
      <c r="E242" s="5" t="str">
        <f t="shared" si="10"/>
        <v/>
      </c>
      <c r="F242" s="8">
        <f t="shared" si="11"/>
        <v>0</v>
      </c>
      <c r="I242" s="4" t="str">
        <f t="shared" si="12"/>
        <v/>
      </c>
    </row>
    <row r="243" spans="1:9" x14ac:dyDescent="0.2">
      <c r="A243" s="25"/>
      <c r="B243" s="25"/>
      <c r="C243" s="26" t="str">
        <f>IF(NOT(ISBLANK(A243)),VLOOKUP(A243,Listados!$A$3:$D$1252,2,FALSE),"")</f>
        <v/>
      </c>
      <c r="D243" s="26" t="str">
        <f>IF(NOT(ISBLANK(A243)),VLOOKUP(A243,Listados!$A$3:$D$1252,4,FALSE),"")</f>
        <v/>
      </c>
      <c r="E243" s="5" t="str">
        <f t="shared" si="10"/>
        <v/>
      </c>
      <c r="F243" s="8">
        <f t="shared" si="11"/>
        <v>0</v>
      </c>
      <c r="I243" s="4" t="str">
        <f t="shared" si="12"/>
        <v/>
      </c>
    </row>
    <row r="244" spans="1:9" x14ac:dyDescent="0.2">
      <c r="A244" s="25"/>
      <c r="B244" s="25"/>
      <c r="C244" s="26" t="str">
        <f>IF(NOT(ISBLANK(A244)),VLOOKUP(A244,Listados!$A$3:$D$1252,2,FALSE),"")</f>
        <v/>
      </c>
      <c r="D244" s="26" t="str">
        <f>IF(NOT(ISBLANK(A244)),VLOOKUP(A244,Listados!$A$3:$D$1252,4,FALSE),"")</f>
        <v/>
      </c>
      <c r="E244" s="5" t="str">
        <f t="shared" si="10"/>
        <v/>
      </c>
      <c r="F244" s="8">
        <f t="shared" si="11"/>
        <v>0</v>
      </c>
      <c r="I244" s="4" t="str">
        <f t="shared" si="12"/>
        <v/>
      </c>
    </row>
    <row r="245" spans="1:9" x14ac:dyDescent="0.2">
      <c r="A245" s="25"/>
      <c r="B245" s="25"/>
      <c r="C245" s="26" t="str">
        <f>IF(NOT(ISBLANK(A245)),VLOOKUP(A245,Listados!$A$3:$D$1252,2,FALSE),"")</f>
        <v/>
      </c>
      <c r="D245" s="26" t="str">
        <f>IF(NOT(ISBLANK(A245)),VLOOKUP(A245,Listados!$A$3:$D$1252,4,FALSE),"")</f>
        <v/>
      </c>
      <c r="E245" s="5" t="str">
        <f t="shared" si="10"/>
        <v/>
      </c>
      <c r="F245" s="8">
        <f t="shared" si="11"/>
        <v>0</v>
      </c>
      <c r="I245" s="4" t="str">
        <f t="shared" si="12"/>
        <v/>
      </c>
    </row>
    <row r="246" spans="1:9" x14ac:dyDescent="0.2">
      <c r="A246" s="25"/>
      <c r="B246" s="25"/>
      <c r="C246" s="26" t="str">
        <f>IF(NOT(ISBLANK(A246)),VLOOKUP(A246,Listados!$A$3:$D$1252,2,FALSE),"")</f>
        <v/>
      </c>
      <c r="D246" s="26" t="str">
        <f>IF(NOT(ISBLANK(A246)),VLOOKUP(A246,Listados!$A$3:$D$1252,4,FALSE),"")</f>
        <v/>
      </c>
      <c r="E246" s="5" t="str">
        <f t="shared" si="10"/>
        <v/>
      </c>
      <c r="F246" s="8">
        <f t="shared" si="11"/>
        <v>0</v>
      </c>
      <c r="I246" s="4" t="str">
        <f t="shared" si="12"/>
        <v/>
      </c>
    </row>
    <row r="247" spans="1:9" x14ac:dyDescent="0.2">
      <c r="A247" s="25"/>
      <c r="B247" s="25"/>
      <c r="C247" s="26" t="str">
        <f>IF(NOT(ISBLANK(A247)),VLOOKUP(A247,Listados!$A$3:$D$1252,2,FALSE),"")</f>
        <v/>
      </c>
      <c r="D247" s="26" t="str">
        <f>IF(NOT(ISBLANK(A247)),VLOOKUP(A247,Listados!$A$3:$D$1252,4,FALSE),"")</f>
        <v/>
      </c>
      <c r="E247" s="5" t="str">
        <f t="shared" si="10"/>
        <v/>
      </c>
      <c r="F247" s="8">
        <f t="shared" si="11"/>
        <v>0</v>
      </c>
      <c r="I247" s="4" t="str">
        <f t="shared" si="12"/>
        <v/>
      </c>
    </row>
    <row r="248" spans="1:9" x14ac:dyDescent="0.2">
      <c r="A248" s="25"/>
      <c r="B248" s="25"/>
      <c r="C248" s="26" t="str">
        <f>IF(NOT(ISBLANK(A248)),VLOOKUP(A248,Listados!$A$3:$D$1252,2,FALSE),"")</f>
        <v/>
      </c>
      <c r="D248" s="26" t="str">
        <f>IF(NOT(ISBLANK(A248)),VLOOKUP(A248,Listados!$A$3:$D$1252,4,FALSE),"")</f>
        <v/>
      </c>
      <c r="E248" s="5" t="str">
        <f t="shared" si="10"/>
        <v/>
      </c>
      <c r="F248" s="8">
        <f t="shared" si="11"/>
        <v>0</v>
      </c>
      <c r="I248" s="4" t="str">
        <f t="shared" si="12"/>
        <v/>
      </c>
    </row>
    <row r="249" spans="1:9" x14ac:dyDescent="0.2">
      <c r="A249" s="25"/>
      <c r="B249" s="25"/>
      <c r="C249" s="26" t="str">
        <f>IF(NOT(ISBLANK(A249)),VLOOKUP(A249,Listados!$A$3:$D$1252,2,FALSE),"")</f>
        <v/>
      </c>
      <c r="D249" s="26" t="str">
        <f>IF(NOT(ISBLANK(A249)),VLOOKUP(A249,Listados!$A$3:$D$1252,4,FALSE),"")</f>
        <v/>
      </c>
      <c r="E249" s="5" t="str">
        <f t="shared" si="10"/>
        <v/>
      </c>
      <c r="F249" s="8">
        <f t="shared" si="11"/>
        <v>0</v>
      </c>
      <c r="I249" s="4" t="str">
        <f t="shared" si="12"/>
        <v/>
      </c>
    </row>
    <row r="250" spans="1:9" x14ac:dyDescent="0.2">
      <c r="A250" s="25"/>
      <c r="B250" s="25"/>
      <c r="C250" s="26" t="str">
        <f>IF(NOT(ISBLANK(A250)),VLOOKUP(A250,Listados!$A$3:$D$1252,2,FALSE),"")</f>
        <v/>
      </c>
      <c r="D250" s="26" t="str">
        <f>IF(NOT(ISBLANK(A250)),VLOOKUP(A250,Listados!$A$3:$D$1252,4,FALSE),"")</f>
        <v/>
      </c>
      <c r="E250" s="5" t="str">
        <f t="shared" si="10"/>
        <v/>
      </c>
      <c r="F250" s="8">
        <f t="shared" si="11"/>
        <v>0</v>
      </c>
      <c r="I250" s="4" t="str">
        <f t="shared" si="12"/>
        <v/>
      </c>
    </row>
    <row r="251" spans="1:9" x14ac:dyDescent="0.2">
      <c r="A251" s="25"/>
      <c r="B251" s="25"/>
      <c r="C251" s="26" t="str">
        <f>IF(NOT(ISBLANK(A251)),VLOOKUP(A251,Listados!$A$3:$D$1252,2,FALSE),"")</f>
        <v/>
      </c>
      <c r="D251" s="26" t="str">
        <f>IF(NOT(ISBLANK(A251)),VLOOKUP(A251,Listados!$A$3:$D$1252,4,FALSE),"")</f>
        <v/>
      </c>
      <c r="E251" s="5" t="str">
        <f t="shared" si="10"/>
        <v/>
      </c>
      <c r="F251" s="8">
        <f t="shared" si="11"/>
        <v>0</v>
      </c>
      <c r="I251" s="4" t="str">
        <f t="shared" si="12"/>
        <v/>
      </c>
    </row>
    <row r="252" spans="1:9" x14ac:dyDescent="0.2">
      <c r="A252" s="25"/>
      <c r="B252" s="25"/>
      <c r="C252" s="26" t="str">
        <f>IF(NOT(ISBLANK(A252)),VLOOKUP(A252,Listados!$A$3:$D$1252,2,FALSE),"")</f>
        <v/>
      </c>
      <c r="D252" s="26" t="str">
        <f>IF(NOT(ISBLANK(A252)),VLOOKUP(A252,Listados!$A$3:$D$1252,4,FALSE),"")</f>
        <v/>
      </c>
      <c r="E252" s="5" t="str">
        <f t="shared" si="10"/>
        <v/>
      </c>
      <c r="F252" s="8">
        <f t="shared" si="11"/>
        <v>0</v>
      </c>
      <c r="I252" s="4" t="str">
        <f t="shared" si="12"/>
        <v/>
      </c>
    </row>
    <row r="253" spans="1:9" x14ac:dyDescent="0.2">
      <c r="A253" s="25"/>
      <c r="B253" s="25"/>
      <c r="C253" s="26" t="str">
        <f>IF(NOT(ISBLANK(A253)),VLOOKUP(A253,Listados!$A$3:$D$1252,2,FALSE),"")</f>
        <v/>
      </c>
      <c r="D253" s="26" t="str">
        <f>IF(NOT(ISBLANK(A253)),VLOOKUP(A253,Listados!$A$3:$D$1252,4,FALSE),"")</f>
        <v/>
      </c>
      <c r="E253" s="5" t="str">
        <f t="shared" si="10"/>
        <v/>
      </c>
      <c r="F253" s="8">
        <f t="shared" si="11"/>
        <v>0</v>
      </c>
      <c r="I253" s="4" t="str">
        <f t="shared" si="12"/>
        <v/>
      </c>
    </row>
    <row r="254" spans="1:9" x14ac:dyDescent="0.2">
      <c r="A254" s="25"/>
      <c r="B254" s="25"/>
      <c r="C254" s="26" t="str">
        <f>IF(NOT(ISBLANK(A254)),VLOOKUP(A254,Listados!$A$3:$D$1252,2,FALSE),"")</f>
        <v/>
      </c>
      <c r="D254" s="26" t="str">
        <f>IF(NOT(ISBLANK(A254)),VLOOKUP(A254,Listados!$A$3:$D$1252,4,FALSE),"")</f>
        <v/>
      </c>
      <c r="E254" s="5" t="str">
        <f t="shared" si="10"/>
        <v/>
      </c>
      <c r="F254" s="8">
        <f t="shared" si="11"/>
        <v>0</v>
      </c>
      <c r="I254" s="4" t="str">
        <f t="shared" si="12"/>
        <v/>
      </c>
    </row>
    <row r="255" spans="1:9" x14ac:dyDescent="0.2">
      <c r="A255" s="25"/>
      <c r="B255" s="25"/>
      <c r="C255" s="26" t="str">
        <f>IF(NOT(ISBLANK(A255)),VLOOKUP(A255,Listados!$A$3:$D$1252,2,FALSE),"")</f>
        <v/>
      </c>
      <c r="D255" s="26" t="str">
        <f>IF(NOT(ISBLANK(A255)),VLOOKUP(A255,Listados!$A$3:$D$1252,4,FALSE),"")</f>
        <v/>
      </c>
      <c r="E255" s="5" t="str">
        <f t="shared" si="10"/>
        <v/>
      </c>
      <c r="F255" s="8">
        <f t="shared" si="11"/>
        <v>0</v>
      </c>
      <c r="I255" s="4" t="str">
        <f t="shared" si="12"/>
        <v/>
      </c>
    </row>
    <row r="256" spans="1:9" x14ac:dyDescent="0.2">
      <c r="A256" s="25"/>
      <c r="B256" s="25"/>
      <c r="C256" s="26" t="str">
        <f>IF(NOT(ISBLANK(A256)),VLOOKUP(A256,Listados!$A$3:$D$1252,2,FALSE),"")</f>
        <v/>
      </c>
      <c r="D256" s="26" t="str">
        <f>IF(NOT(ISBLANK(A256)),VLOOKUP(A256,Listados!$A$3:$D$1252,4,FALSE),"")</f>
        <v/>
      </c>
      <c r="E256" s="5" t="str">
        <f t="shared" si="10"/>
        <v/>
      </c>
      <c r="F256" s="8">
        <f t="shared" si="11"/>
        <v>0</v>
      </c>
      <c r="I256" s="4" t="str">
        <f t="shared" si="12"/>
        <v/>
      </c>
    </row>
    <row r="257" spans="1:9" x14ac:dyDescent="0.2">
      <c r="A257" s="25"/>
      <c r="B257" s="25"/>
      <c r="C257" s="26" t="str">
        <f>IF(NOT(ISBLANK(A257)),VLOOKUP(A257,Listados!$A$3:$D$1252,2,FALSE),"")</f>
        <v/>
      </c>
      <c r="D257" s="26" t="str">
        <f>IF(NOT(ISBLANK(A257)),VLOOKUP(A257,Listados!$A$3:$D$1252,4,FALSE),"")</f>
        <v/>
      </c>
      <c r="E257" s="5" t="str">
        <f t="shared" si="10"/>
        <v/>
      </c>
      <c r="F257" s="8">
        <f t="shared" si="11"/>
        <v>0</v>
      </c>
      <c r="I257" s="4" t="str">
        <f t="shared" si="12"/>
        <v/>
      </c>
    </row>
    <row r="258" spans="1:9" x14ac:dyDescent="0.2">
      <c r="A258" s="25"/>
      <c r="B258" s="25"/>
      <c r="C258" s="26" t="str">
        <f>IF(NOT(ISBLANK(A258)),VLOOKUP(A258,Listados!$A$3:$D$1252,2,FALSE),"")</f>
        <v/>
      </c>
      <c r="D258" s="26" t="str">
        <f>IF(NOT(ISBLANK(A258)),VLOOKUP(A258,Listados!$A$3:$D$1252,4,FALSE),"")</f>
        <v/>
      </c>
      <c r="E258" s="5" t="str">
        <f t="shared" si="10"/>
        <v/>
      </c>
      <c r="F258" s="8">
        <f t="shared" si="11"/>
        <v>0</v>
      </c>
      <c r="I258" s="4" t="str">
        <f t="shared" si="12"/>
        <v/>
      </c>
    </row>
    <row r="259" spans="1:9" x14ac:dyDescent="0.2">
      <c r="A259" s="25"/>
      <c r="B259" s="25"/>
      <c r="C259" s="26" t="str">
        <f>IF(NOT(ISBLANK(A259)),VLOOKUP(A259,Listados!$A$3:$D$1252,2,FALSE),"")</f>
        <v/>
      </c>
      <c r="D259" s="26" t="str">
        <f>IF(NOT(ISBLANK(A259)),VLOOKUP(A259,Listados!$A$3:$D$1252,4,FALSE),"")</f>
        <v/>
      </c>
      <c r="E259" s="5" t="str">
        <f t="shared" si="10"/>
        <v/>
      </c>
      <c r="F259" s="8">
        <f t="shared" si="11"/>
        <v>0</v>
      </c>
      <c r="I259" s="4" t="str">
        <f t="shared" si="12"/>
        <v/>
      </c>
    </row>
    <row r="260" spans="1:9" x14ac:dyDescent="0.2">
      <c r="A260" s="25"/>
      <c r="B260" s="25"/>
      <c r="C260" s="26" t="str">
        <f>IF(NOT(ISBLANK(A260)),VLOOKUP(A260,Listados!$A$3:$D$1252,2,FALSE),"")</f>
        <v/>
      </c>
      <c r="D260" s="26" t="str">
        <f>IF(NOT(ISBLANK(A260)),VLOOKUP(A260,Listados!$A$3:$D$1252,4,FALSE),"")</f>
        <v/>
      </c>
      <c r="E260" s="5" t="str">
        <f t="shared" si="10"/>
        <v/>
      </c>
      <c r="F260" s="8">
        <f t="shared" si="11"/>
        <v>0</v>
      </c>
      <c r="I260" s="4" t="str">
        <f t="shared" si="12"/>
        <v/>
      </c>
    </row>
    <row r="261" spans="1:9" x14ac:dyDescent="0.2">
      <c r="A261" s="25"/>
      <c r="B261" s="25"/>
      <c r="C261" s="26" t="str">
        <f>IF(NOT(ISBLANK(A261)),VLOOKUP(A261,Listados!$A$3:$D$1252,2,FALSE),"")</f>
        <v/>
      </c>
      <c r="D261" s="26" t="str">
        <f>IF(NOT(ISBLANK(A261)),VLOOKUP(A261,Listados!$A$3:$D$1252,4,FALSE),"")</f>
        <v/>
      </c>
      <c r="E261" s="5" t="str">
        <f t="shared" si="10"/>
        <v/>
      </c>
      <c r="F261" s="8">
        <f t="shared" si="11"/>
        <v>0</v>
      </c>
      <c r="I261" s="4" t="str">
        <f t="shared" si="12"/>
        <v/>
      </c>
    </row>
    <row r="262" spans="1:9" x14ac:dyDescent="0.2">
      <c r="A262" s="25"/>
      <c r="B262" s="25"/>
      <c r="C262" s="26" t="str">
        <f>IF(NOT(ISBLANK(A262)),VLOOKUP(A262,Listados!$A$3:$D$1252,2,FALSE),"")</f>
        <v/>
      </c>
      <c r="D262" s="26" t="str">
        <f>IF(NOT(ISBLANK(A262)),VLOOKUP(A262,Listados!$A$3:$D$1252,4,FALSE),"")</f>
        <v/>
      </c>
      <c r="E262" s="5" t="str">
        <f t="shared" si="10"/>
        <v/>
      </c>
      <c r="F262" s="8">
        <f t="shared" si="11"/>
        <v>0</v>
      </c>
      <c r="I262" s="4" t="str">
        <f t="shared" si="12"/>
        <v/>
      </c>
    </row>
    <row r="263" spans="1:9" x14ac:dyDescent="0.2">
      <c r="A263" s="25"/>
      <c r="B263" s="25"/>
      <c r="C263" s="26" t="str">
        <f>IF(NOT(ISBLANK(A263)),VLOOKUP(A263,Listados!$A$3:$D$1252,2,FALSE),"")</f>
        <v/>
      </c>
      <c r="D263" s="26" t="str">
        <f>IF(NOT(ISBLANK(A263)),VLOOKUP(A263,Listados!$A$3:$D$1252,4,FALSE),"")</f>
        <v/>
      </c>
      <c r="E263" s="5" t="str">
        <f t="shared" si="10"/>
        <v/>
      </c>
      <c r="F263" s="8">
        <f t="shared" si="11"/>
        <v>0</v>
      </c>
      <c r="I263" s="4" t="str">
        <f t="shared" si="12"/>
        <v/>
      </c>
    </row>
    <row r="264" spans="1:9" x14ac:dyDescent="0.2">
      <c r="A264" s="25"/>
      <c r="B264" s="25"/>
      <c r="C264" s="26" t="str">
        <f>IF(NOT(ISBLANK(A264)),VLOOKUP(A264,Listados!$A$3:$D$1252,2,FALSE),"")</f>
        <v/>
      </c>
      <c r="D264" s="26" t="str">
        <f>IF(NOT(ISBLANK(A264)),VLOOKUP(A264,Listados!$A$3:$D$1252,4,FALSE),"")</f>
        <v/>
      </c>
      <c r="E264" s="5" t="str">
        <f t="shared" si="10"/>
        <v/>
      </c>
      <c r="F264" s="8">
        <f t="shared" si="11"/>
        <v>0</v>
      </c>
      <c r="I264" s="4" t="str">
        <f t="shared" si="12"/>
        <v/>
      </c>
    </row>
  </sheetData>
  <sheetProtection algorithmName="SHA-512" hashValue="USbSu8kOd8KZ+7jcdV4Ii4nN5HTbXIrBZxN7U98qxR8OmrsZUn1AWF65MVxfR2JEkTdF7wdb4rm5uxD6RVZDNQ==" saltValue="m5QaQPMZ/fwizmOxTKLXXQ==" spinCount="100000" sheet="1" objects="1" scenarios="1"/>
  <mergeCells count="5">
    <mergeCell ref="C11:D11"/>
    <mergeCell ref="C10:D10"/>
    <mergeCell ref="A1:F1"/>
    <mergeCell ref="A2:F3"/>
    <mergeCell ref="A5:F5"/>
  </mergeCells>
  <conditionalFormatting sqref="F15:F264">
    <cfRule type="iconSet" priority="2">
      <iconSet iconSet="3Symbols" reverse="1">
        <cfvo type="percent" val="0"/>
        <cfvo type="num" val="1"/>
        <cfvo type="num" val="1"/>
      </iconSet>
    </cfRule>
  </conditionalFormatting>
  <conditionalFormatting sqref="F8:F11">
    <cfRule type="iconSet" priority="1">
      <iconSet iconSet="3Symbols" reverse="1">
        <cfvo type="percent" val="0"/>
        <cfvo type="num" val="1"/>
        <cfvo type="num" val="1"/>
      </iconSet>
    </cfRule>
  </conditionalFormatting>
  <dataValidations count="1">
    <dataValidation type="whole" allowBlank="1" showInputMessage="1" showErrorMessage="1" sqref="B15:B264" xr:uid="{D60F0759-F868-4672-A813-20CD60642D6D}">
      <formula1>0</formula1>
      <formula2>10000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No válido" error="Seleccione una metodología dentro del listado" promptTitle="Metodología" prompt="Seleccione la metodología del presupuesto" xr:uid="{581A2ECD-208C-4231-A097-55475B7E6D40}">
          <x14:formula1>
            <xm:f>Listados!$G$2:$G$8</xm:f>
          </x14:formula1>
          <xm:sqref>C10:D10</xm:sqref>
        </x14:dataValidation>
        <x14:dataValidation type="list" allowBlank="1" showInputMessage="1" showErrorMessage="1" errorTitle="No válido" error="Seleccione una fase dentro del listado" promptTitle="Fase" prompt="Seleccione la fase del presupuesto" xr:uid="{EA9DB5E8-7924-4E29-9088-F8D8F845E7EA}">
          <x14:formula1>
            <xm:f>Listados!$G$21:$G$37</xm:f>
          </x14:formula1>
          <xm:sqref>C11:D11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7966-FB1D-4643-A284-113F2AA34B27}">
  <dimension ref="A1:I264"/>
  <sheetViews>
    <sheetView showGridLines="0" workbookViewId="0">
      <selection sqref="A1:H1"/>
    </sheetView>
  </sheetViews>
  <sheetFormatPr baseColWidth="10" defaultColWidth="0" defaultRowHeight="12.75" zeroHeight="1" x14ac:dyDescent="0.2"/>
  <cols>
    <col min="1" max="1" width="23" customWidth="1"/>
    <col min="2" max="4" width="10.7109375" customWidth="1"/>
    <col min="5" max="5" width="26.28515625" customWidth="1"/>
    <col min="6" max="6" width="28.85546875" customWidth="1"/>
    <col min="7" max="7" width="32.42578125" bestFit="1" customWidth="1"/>
    <col min="8" max="8" width="2.7109375" customWidth="1"/>
    <col min="9" max="9" width="2.7109375" hidden="1" customWidth="1"/>
    <col min="10" max="16384" width="11.42578125" hidden="1"/>
  </cols>
  <sheetData>
    <row r="1" spans="1:9" ht="23.25" x14ac:dyDescent="0.35">
      <c r="A1" s="11" t="s">
        <v>1213</v>
      </c>
      <c r="B1" s="11"/>
      <c r="C1" s="11"/>
      <c r="D1" s="11"/>
      <c r="E1" s="11"/>
      <c r="F1" s="11"/>
      <c r="G1" s="11"/>
      <c r="H1" s="11"/>
    </row>
    <row r="2" spans="1:9" ht="15" customHeight="1" x14ac:dyDescent="0.2">
      <c r="A2" s="12" t="s">
        <v>1218</v>
      </c>
      <c r="B2" s="13"/>
      <c r="C2" s="13"/>
      <c r="D2" s="13"/>
      <c r="E2" s="13"/>
      <c r="F2" s="13"/>
      <c r="G2" s="13"/>
      <c r="H2" s="14"/>
    </row>
    <row r="3" spans="1:9" ht="15" customHeight="1" x14ac:dyDescent="0.2">
      <c r="A3" s="15"/>
      <c r="B3" s="16"/>
      <c r="C3" s="16"/>
      <c r="D3" s="16"/>
      <c r="E3" s="16"/>
      <c r="F3" s="16"/>
      <c r="G3" s="16"/>
      <c r="H3" s="17"/>
    </row>
    <row r="4" spans="1:9" x14ac:dyDescent="0.2"/>
    <row r="5" spans="1:9" ht="14.25" x14ac:dyDescent="0.2">
      <c r="A5" s="18" t="str">
        <f>IF(SUM(H8:H257)&gt;0,"Hay uno o más errores. Corríjalos antes de subir el Excel","")</f>
        <v>Hay uno o más errores. Corríjalos antes de subir el Excel</v>
      </c>
      <c r="B5" s="18"/>
      <c r="C5" s="18"/>
      <c r="D5" s="18"/>
      <c r="E5" s="18"/>
      <c r="F5" s="18"/>
      <c r="G5" s="18"/>
      <c r="H5" s="18"/>
    </row>
    <row r="6" spans="1:9" x14ac:dyDescent="0.2"/>
    <row r="7" spans="1:9" ht="13.5" thickBot="1" x14ac:dyDescent="0.25"/>
    <row r="8" spans="1:9" ht="20.100000000000001" customHeight="1" thickBot="1" x14ac:dyDescent="0.3">
      <c r="A8" s="2" t="s">
        <v>1185</v>
      </c>
      <c r="C8" s="20"/>
      <c r="D8" s="3"/>
      <c r="E8" s="3"/>
      <c r="F8" s="3"/>
      <c r="G8" s="5" t="str">
        <f>IF(C8="","Debe escribir el número de propuesta","")</f>
        <v>Debe escribir el número de propuesta</v>
      </c>
      <c r="H8" s="8">
        <f>IF(NOT(G8=""),1,0)</f>
        <v>1</v>
      </c>
      <c r="I8" s="4">
        <f>IF(ISNUMBER(C8),C8,0)</f>
        <v>0</v>
      </c>
    </row>
    <row r="9" spans="1:9" ht="20.100000000000001" customHeight="1" thickBot="1" x14ac:dyDescent="0.3">
      <c r="A9" s="2" t="s">
        <v>1186</v>
      </c>
      <c r="C9" s="21"/>
      <c r="D9" s="3"/>
      <c r="E9" s="3"/>
      <c r="F9" s="3"/>
      <c r="G9" s="5" t="str">
        <f>IF(C9="","Debe escribir el número de alternativa","")</f>
        <v>Debe escribir el número de alternativa</v>
      </c>
      <c r="H9" s="8">
        <f t="shared" ref="H9:H11" si="0">IF(NOT(G9=""),1,0)</f>
        <v>1</v>
      </c>
      <c r="I9" s="4">
        <f>IF(ISNUMBER(C9),C9,0)</f>
        <v>0</v>
      </c>
    </row>
    <row r="10" spans="1:9" ht="20.100000000000001" customHeight="1" thickBot="1" x14ac:dyDescent="0.3">
      <c r="A10" s="2" t="s">
        <v>1188</v>
      </c>
      <c r="C10" s="22"/>
      <c r="D10" s="23"/>
      <c r="E10" s="23"/>
      <c r="F10" s="24"/>
      <c r="G10" s="5" t="str">
        <f>IF(C10="","Debe seleccionar la metodología","")</f>
        <v>Debe seleccionar la metodología</v>
      </c>
      <c r="H10" s="8">
        <f t="shared" si="0"/>
        <v>1</v>
      </c>
      <c r="I10" s="4" t="str">
        <f>IF(NOT(ISBLANK(C10)),VLOOKUP(C10,Listados!G2:H8,2,FALSE),"")</f>
        <v/>
      </c>
    </row>
    <row r="11" spans="1:9" ht="20.100000000000001" customHeight="1" thickBot="1" x14ac:dyDescent="0.3">
      <c r="A11" s="2" t="s">
        <v>1187</v>
      </c>
      <c r="C11" s="22"/>
      <c r="D11" s="23"/>
      <c r="E11" s="23"/>
      <c r="F11" s="24"/>
      <c r="G11" s="5" t="str">
        <f>IF(C11="","Debe seleccionar la fase","")</f>
        <v>Debe seleccionar la fase</v>
      </c>
      <c r="H11" s="8">
        <f t="shared" si="0"/>
        <v>1</v>
      </c>
      <c r="I11" s="4" t="str">
        <f>IF(NOT(ISBLANK(C11)),VLOOKUP(C11,Listados!G21:H37,2,FALSE),"")</f>
        <v/>
      </c>
    </row>
    <row r="12" spans="1:9" x14ac:dyDescent="0.2">
      <c r="C12" s="1"/>
      <c r="D12" s="1"/>
      <c r="E12" s="1"/>
      <c r="F12" s="1"/>
      <c r="H12" s="8"/>
    </row>
    <row r="13" spans="1:9" x14ac:dyDescent="0.2">
      <c r="H13" s="8"/>
    </row>
    <row r="14" spans="1:9" ht="15" x14ac:dyDescent="0.25">
      <c r="A14" s="2" t="s">
        <v>1181</v>
      </c>
      <c r="B14" s="2" t="s">
        <v>1210</v>
      </c>
      <c r="C14" s="2" t="s">
        <v>1211</v>
      </c>
      <c r="D14" s="2" t="s">
        <v>1212</v>
      </c>
      <c r="E14" s="2" t="s">
        <v>1183</v>
      </c>
      <c r="F14" s="2" t="s">
        <v>1184</v>
      </c>
      <c r="H14" s="8"/>
      <c r="I14" t="s">
        <v>1219</v>
      </c>
    </row>
    <row r="15" spans="1:9" x14ac:dyDescent="0.2">
      <c r="A15" s="25"/>
      <c r="B15" s="25"/>
      <c r="C15" s="25"/>
      <c r="D15" s="25"/>
      <c r="E15" s="26" t="str">
        <f>IF(NOT(ISBLANK(A15)),VLOOKUP(A15,Listados!$A$3:$D$1252,2,FALSE),"")</f>
        <v/>
      </c>
      <c r="F15" s="26" t="str">
        <f>IF(NOT(ISBLANK(A15)),VLOOKUP(A15,Listados!$A$3:$D$1252,4,FALSE),"")</f>
        <v/>
      </c>
      <c r="G15" s="5" t="str">
        <f>IF(ISERROR(E15),"El código de ciudad no es válido",IF(AND(NOT(SUM(B15:D15)&gt;0),NOT(A15="")),"Escriba la muestra para esta ciudad",""))</f>
        <v/>
      </c>
      <c r="H15" s="8">
        <f>IF(NOT(G15=""),1,0)</f>
        <v>0</v>
      </c>
      <c r="I15" s="4" t="str">
        <f>_xlfn.CONCAT(IF(AND(NOT(A15=""),ISNUMBER(B15)),"EXEC [dbo].[IQ_InsertarMuestra_WORK] "&amp;A15&amp;", "&amp;B15&amp;", 30, "&amp;$I$8&amp;", "&amp;$I$11&amp;", "&amp;$I$10&amp;", "&amp;$I$9&amp;";",""),IF(AND(NOT(A15=""),ISNUMBER(C15)),"EXEC [dbo].[IQ_InsertarMuestra_WORK] "&amp;A15&amp;", "&amp;C15&amp;", 20, "&amp;$I$8&amp;", "&amp;$I$11&amp;", "&amp;$I$10&amp;", "&amp;$I$9&amp;";",""),IF(AND(NOT(A15=""),ISNUMBER(D15)),"EXEC [dbo].[IQ_InsertarMuestra_WORK] "&amp;A15&amp;", "&amp;D15&amp;", 10, "&amp;$I$8&amp;", "&amp;$I$11&amp;", "&amp;$I$10&amp;", "&amp;$I$9&amp;";",""))</f>
        <v/>
      </c>
    </row>
    <row r="16" spans="1:9" x14ac:dyDescent="0.2">
      <c r="A16" s="25"/>
      <c r="B16" s="25"/>
      <c r="C16" s="25"/>
      <c r="D16" s="25"/>
      <c r="E16" s="26" t="str">
        <f>IF(NOT(ISBLANK(A16)),VLOOKUP(A16,Listados!$A$3:$D$1252,2,FALSE),"")</f>
        <v/>
      </c>
      <c r="F16" s="26" t="str">
        <f>IF(NOT(ISBLANK(A16)),VLOOKUP(A16,Listados!$A$3:$D$1252,4,FALSE),"")</f>
        <v/>
      </c>
      <c r="G16" s="5" t="str">
        <f t="shared" ref="G16:G79" si="1">IF(ISERROR(E16),"El código de ciudad no es válido",IF(AND(NOT(ISNUMBER(SUM(B16:D16))),NOT(A16="")),"Escriba la muestra para esta ciudad",""))</f>
        <v/>
      </c>
      <c r="H16" s="8">
        <f t="shared" ref="H16:H79" si="2">IF(NOT(G16=""),1,0)</f>
        <v>0</v>
      </c>
      <c r="I16" s="4" t="str">
        <f t="shared" ref="I16:I79" si="3">_xlfn.CONCAT(IF(AND(NOT(A16=""),ISNUMBER(B16)),"EXEC [dbo].[IQ_InsertarMuestra_WORK] "&amp;A16&amp;", "&amp;B16&amp;", 30, "&amp;$I$8&amp;", "&amp;$I$11&amp;", "&amp;$I$10&amp;", "&amp;$I$9&amp;";",""),IF(AND(NOT(A16=""),ISNUMBER(C16)),"EXEC [dbo].[IQ_InsertarMuestra_WORK] "&amp;A16&amp;", "&amp;C16&amp;", 20, "&amp;$I$8&amp;", "&amp;$I$11&amp;", "&amp;$I$10&amp;", "&amp;$I$9&amp;";",""),IF(AND(NOT(A16=""),ISNUMBER(D16)),"EXEC [dbo].[IQ_InsertarMuestra_WORK] "&amp;A16&amp;", "&amp;D16&amp;", 10, "&amp;$I$8&amp;", "&amp;$I$11&amp;", "&amp;$I$10&amp;", "&amp;$I$9&amp;";",""))</f>
        <v/>
      </c>
    </row>
    <row r="17" spans="1:9" x14ac:dyDescent="0.2">
      <c r="A17" s="25"/>
      <c r="B17" s="25"/>
      <c r="C17" s="25"/>
      <c r="D17" s="25"/>
      <c r="E17" s="26" t="str">
        <f>IF(NOT(ISBLANK(A17)),VLOOKUP(A17,Listados!$A$3:$D$1252,2,FALSE),"")</f>
        <v/>
      </c>
      <c r="F17" s="26" t="str">
        <f>IF(NOT(ISBLANK(A17)),VLOOKUP(A17,Listados!$A$3:$D$1252,4,FALSE),"")</f>
        <v/>
      </c>
      <c r="G17" s="5" t="str">
        <f t="shared" si="1"/>
        <v/>
      </c>
      <c r="H17" s="8">
        <f t="shared" si="2"/>
        <v>0</v>
      </c>
      <c r="I17" s="4" t="str">
        <f t="shared" si="3"/>
        <v/>
      </c>
    </row>
    <row r="18" spans="1:9" x14ac:dyDescent="0.2">
      <c r="A18" s="25"/>
      <c r="B18" s="25"/>
      <c r="C18" s="25"/>
      <c r="D18" s="25"/>
      <c r="E18" s="26" t="str">
        <f>IF(NOT(ISBLANK(A18)),VLOOKUP(A18,Listados!$A$3:$D$1252,2,FALSE),"")</f>
        <v/>
      </c>
      <c r="F18" s="26" t="str">
        <f>IF(NOT(ISBLANK(A18)),VLOOKUP(A18,Listados!$A$3:$D$1252,4,FALSE),"")</f>
        <v/>
      </c>
      <c r="G18" s="5" t="str">
        <f t="shared" si="1"/>
        <v/>
      </c>
      <c r="H18" s="8">
        <f t="shared" si="2"/>
        <v>0</v>
      </c>
      <c r="I18" s="4" t="str">
        <f t="shared" si="3"/>
        <v/>
      </c>
    </row>
    <row r="19" spans="1:9" x14ac:dyDescent="0.2">
      <c r="A19" s="25"/>
      <c r="B19" s="25"/>
      <c r="C19" s="25"/>
      <c r="D19" s="25"/>
      <c r="E19" s="26" t="str">
        <f>IF(NOT(ISBLANK(A19)),VLOOKUP(A19,Listados!$A$3:$D$1252,2,FALSE),"")</f>
        <v/>
      </c>
      <c r="F19" s="26" t="str">
        <f>IF(NOT(ISBLANK(A19)),VLOOKUP(A19,Listados!$A$3:$D$1252,4,FALSE),"")</f>
        <v/>
      </c>
      <c r="G19" s="5" t="str">
        <f t="shared" si="1"/>
        <v/>
      </c>
      <c r="H19" s="8">
        <f t="shared" si="2"/>
        <v>0</v>
      </c>
      <c r="I19" s="4" t="str">
        <f t="shared" si="3"/>
        <v/>
      </c>
    </row>
    <row r="20" spans="1:9" x14ac:dyDescent="0.2">
      <c r="A20" s="25"/>
      <c r="B20" s="25"/>
      <c r="C20" s="25"/>
      <c r="D20" s="25"/>
      <c r="E20" s="26" t="str">
        <f>IF(NOT(ISBLANK(A20)),VLOOKUP(A20,Listados!$A$3:$D$1252,2,FALSE),"")</f>
        <v/>
      </c>
      <c r="F20" s="26" t="str">
        <f>IF(NOT(ISBLANK(A20)),VLOOKUP(A20,Listados!$A$3:$D$1252,4,FALSE),"")</f>
        <v/>
      </c>
      <c r="G20" s="5" t="str">
        <f t="shared" si="1"/>
        <v/>
      </c>
      <c r="H20" s="8">
        <f t="shared" si="2"/>
        <v>0</v>
      </c>
      <c r="I20" s="4" t="str">
        <f t="shared" si="3"/>
        <v/>
      </c>
    </row>
    <row r="21" spans="1:9" x14ac:dyDescent="0.2">
      <c r="A21" s="25"/>
      <c r="B21" s="25"/>
      <c r="C21" s="25"/>
      <c r="D21" s="25"/>
      <c r="E21" s="26" t="str">
        <f>IF(NOT(ISBLANK(A21)),VLOOKUP(A21,Listados!$A$3:$D$1252,2,FALSE),"")</f>
        <v/>
      </c>
      <c r="F21" s="26" t="str">
        <f>IF(NOT(ISBLANK(A21)),VLOOKUP(A21,Listados!$A$3:$D$1252,4,FALSE),"")</f>
        <v/>
      </c>
      <c r="G21" s="5" t="str">
        <f t="shared" si="1"/>
        <v/>
      </c>
      <c r="H21" s="8">
        <f t="shared" si="2"/>
        <v>0</v>
      </c>
      <c r="I21" s="4" t="str">
        <f t="shared" si="3"/>
        <v/>
      </c>
    </row>
    <row r="22" spans="1:9" x14ac:dyDescent="0.2">
      <c r="A22" s="25"/>
      <c r="B22" s="25"/>
      <c r="C22" s="25"/>
      <c r="D22" s="25"/>
      <c r="E22" s="26" t="str">
        <f>IF(NOT(ISBLANK(A22)),VLOOKUP(A22,Listados!$A$3:$D$1252,2,FALSE),"")</f>
        <v/>
      </c>
      <c r="F22" s="26" t="str">
        <f>IF(NOT(ISBLANK(A22)),VLOOKUP(A22,Listados!$A$3:$D$1252,4,FALSE),"")</f>
        <v/>
      </c>
      <c r="G22" s="5" t="str">
        <f t="shared" si="1"/>
        <v/>
      </c>
      <c r="H22" s="8">
        <f t="shared" si="2"/>
        <v>0</v>
      </c>
      <c r="I22" s="4" t="str">
        <f t="shared" si="3"/>
        <v/>
      </c>
    </row>
    <row r="23" spans="1:9" x14ac:dyDescent="0.2">
      <c r="A23" s="25"/>
      <c r="B23" s="25"/>
      <c r="C23" s="25"/>
      <c r="D23" s="25"/>
      <c r="E23" s="26" t="str">
        <f>IF(NOT(ISBLANK(A23)),VLOOKUP(A23,Listados!$A$3:$D$1252,2,FALSE),"")</f>
        <v/>
      </c>
      <c r="F23" s="26" t="str">
        <f>IF(NOT(ISBLANK(A23)),VLOOKUP(A23,Listados!$A$3:$D$1252,4,FALSE),"")</f>
        <v/>
      </c>
      <c r="G23" s="5" t="str">
        <f t="shared" si="1"/>
        <v/>
      </c>
      <c r="H23" s="8">
        <f t="shared" si="2"/>
        <v>0</v>
      </c>
      <c r="I23" s="4" t="str">
        <f t="shared" si="3"/>
        <v/>
      </c>
    </row>
    <row r="24" spans="1:9" x14ac:dyDescent="0.2">
      <c r="A24" s="25"/>
      <c r="B24" s="25"/>
      <c r="C24" s="25"/>
      <c r="D24" s="25"/>
      <c r="E24" s="26" t="str">
        <f>IF(NOT(ISBLANK(A24)),VLOOKUP(A24,Listados!$A$3:$D$1252,2,FALSE),"")</f>
        <v/>
      </c>
      <c r="F24" s="26" t="str">
        <f>IF(NOT(ISBLANK(A24)),VLOOKUP(A24,Listados!$A$3:$D$1252,4,FALSE),"")</f>
        <v/>
      </c>
      <c r="G24" s="5" t="str">
        <f t="shared" si="1"/>
        <v/>
      </c>
      <c r="H24" s="8">
        <f t="shared" si="2"/>
        <v>0</v>
      </c>
      <c r="I24" s="4" t="str">
        <f t="shared" si="3"/>
        <v/>
      </c>
    </row>
    <row r="25" spans="1:9" x14ac:dyDescent="0.2">
      <c r="A25" s="25"/>
      <c r="B25" s="25"/>
      <c r="C25" s="25"/>
      <c r="D25" s="25"/>
      <c r="E25" s="26" t="str">
        <f>IF(NOT(ISBLANK(A25)),VLOOKUP(A25,Listados!$A$3:$D$1252,2,FALSE),"")</f>
        <v/>
      </c>
      <c r="F25" s="26" t="str">
        <f>IF(NOT(ISBLANK(A25)),VLOOKUP(A25,Listados!$A$3:$D$1252,4,FALSE),"")</f>
        <v/>
      </c>
      <c r="G25" s="5" t="str">
        <f t="shared" si="1"/>
        <v/>
      </c>
      <c r="H25" s="8">
        <f t="shared" si="2"/>
        <v>0</v>
      </c>
      <c r="I25" s="4" t="str">
        <f t="shared" si="3"/>
        <v/>
      </c>
    </row>
    <row r="26" spans="1:9" x14ac:dyDescent="0.2">
      <c r="A26" s="25"/>
      <c r="B26" s="25"/>
      <c r="C26" s="25"/>
      <c r="D26" s="25"/>
      <c r="E26" s="26" t="str">
        <f>IF(NOT(ISBLANK(A26)),VLOOKUP(A26,Listados!$A$3:$D$1252,2,FALSE),"")</f>
        <v/>
      </c>
      <c r="F26" s="26" t="str">
        <f>IF(NOT(ISBLANK(A26)),VLOOKUP(A26,Listados!$A$3:$D$1252,4,FALSE),"")</f>
        <v/>
      </c>
      <c r="G26" s="5" t="str">
        <f t="shared" si="1"/>
        <v/>
      </c>
      <c r="H26" s="8">
        <f t="shared" si="2"/>
        <v>0</v>
      </c>
      <c r="I26" s="4" t="str">
        <f t="shared" si="3"/>
        <v/>
      </c>
    </row>
    <row r="27" spans="1:9" x14ac:dyDescent="0.2">
      <c r="A27" s="25"/>
      <c r="B27" s="25"/>
      <c r="C27" s="25"/>
      <c r="D27" s="25"/>
      <c r="E27" s="26" t="str">
        <f>IF(NOT(ISBLANK(A27)),VLOOKUP(A27,Listados!$A$3:$D$1252,2,FALSE),"")</f>
        <v/>
      </c>
      <c r="F27" s="26" t="str">
        <f>IF(NOT(ISBLANK(A27)),VLOOKUP(A27,Listados!$A$3:$D$1252,4,FALSE),"")</f>
        <v/>
      </c>
      <c r="G27" s="5" t="str">
        <f t="shared" si="1"/>
        <v/>
      </c>
      <c r="H27" s="8">
        <f t="shared" si="2"/>
        <v>0</v>
      </c>
      <c r="I27" s="4" t="str">
        <f t="shared" si="3"/>
        <v/>
      </c>
    </row>
    <row r="28" spans="1:9" x14ac:dyDescent="0.2">
      <c r="A28" s="25"/>
      <c r="B28" s="25"/>
      <c r="C28" s="25"/>
      <c r="D28" s="25"/>
      <c r="E28" s="26" t="str">
        <f>IF(NOT(ISBLANK(A28)),VLOOKUP(A28,Listados!$A$3:$D$1252,2,FALSE),"")</f>
        <v/>
      </c>
      <c r="F28" s="26" t="str">
        <f>IF(NOT(ISBLANK(A28)),VLOOKUP(A28,Listados!$A$3:$D$1252,4,FALSE),"")</f>
        <v/>
      </c>
      <c r="G28" s="5" t="str">
        <f t="shared" si="1"/>
        <v/>
      </c>
      <c r="H28" s="8">
        <f t="shared" si="2"/>
        <v>0</v>
      </c>
      <c r="I28" s="4" t="str">
        <f t="shared" si="3"/>
        <v/>
      </c>
    </row>
    <row r="29" spans="1:9" x14ac:dyDescent="0.2">
      <c r="A29" s="25"/>
      <c r="B29" s="25"/>
      <c r="C29" s="25"/>
      <c r="D29" s="25"/>
      <c r="E29" s="26" t="str">
        <f>IF(NOT(ISBLANK(A29)),VLOOKUP(A29,Listados!$A$3:$D$1252,2,FALSE),"")</f>
        <v/>
      </c>
      <c r="F29" s="26" t="str">
        <f>IF(NOT(ISBLANK(A29)),VLOOKUP(A29,Listados!$A$3:$D$1252,4,FALSE),"")</f>
        <v/>
      </c>
      <c r="G29" s="5" t="str">
        <f t="shared" si="1"/>
        <v/>
      </c>
      <c r="H29" s="8">
        <f t="shared" si="2"/>
        <v>0</v>
      </c>
      <c r="I29" s="4" t="str">
        <f t="shared" si="3"/>
        <v/>
      </c>
    </row>
    <row r="30" spans="1:9" x14ac:dyDescent="0.2">
      <c r="A30" s="25"/>
      <c r="B30" s="25"/>
      <c r="C30" s="25"/>
      <c r="D30" s="25"/>
      <c r="E30" s="26" t="str">
        <f>IF(NOT(ISBLANK(A30)),VLOOKUP(A30,Listados!$A$3:$D$1252,2,FALSE),"")</f>
        <v/>
      </c>
      <c r="F30" s="26" t="str">
        <f>IF(NOT(ISBLANK(A30)),VLOOKUP(A30,Listados!$A$3:$D$1252,4,FALSE),"")</f>
        <v/>
      </c>
      <c r="G30" s="5" t="str">
        <f t="shared" si="1"/>
        <v/>
      </c>
      <c r="H30" s="8">
        <f t="shared" si="2"/>
        <v>0</v>
      </c>
      <c r="I30" s="4" t="str">
        <f t="shared" si="3"/>
        <v/>
      </c>
    </row>
    <row r="31" spans="1:9" x14ac:dyDescent="0.2">
      <c r="A31" s="25"/>
      <c r="B31" s="25"/>
      <c r="C31" s="25"/>
      <c r="D31" s="25"/>
      <c r="E31" s="26" t="str">
        <f>IF(NOT(ISBLANK(A31)),VLOOKUP(A31,Listados!$A$3:$D$1252,2,FALSE),"")</f>
        <v/>
      </c>
      <c r="F31" s="26" t="str">
        <f>IF(NOT(ISBLANK(A31)),VLOOKUP(A31,Listados!$A$3:$D$1252,4,FALSE),"")</f>
        <v/>
      </c>
      <c r="G31" s="5" t="str">
        <f t="shared" si="1"/>
        <v/>
      </c>
      <c r="H31" s="8">
        <f t="shared" si="2"/>
        <v>0</v>
      </c>
      <c r="I31" s="4" t="str">
        <f t="shared" si="3"/>
        <v/>
      </c>
    </row>
    <row r="32" spans="1:9" x14ac:dyDescent="0.2">
      <c r="A32" s="25"/>
      <c r="B32" s="25"/>
      <c r="C32" s="25"/>
      <c r="D32" s="25"/>
      <c r="E32" s="26" t="str">
        <f>IF(NOT(ISBLANK(A32)),VLOOKUP(A32,Listados!$A$3:$D$1252,2,FALSE),"")</f>
        <v/>
      </c>
      <c r="F32" s="26" t="str">
        <f>IF(NOT(ISBLANK(A32)),VLOOKUP(A32,Listados!$A$3:$D$1252,4,FALSE),"")</f>
        <v/>
      </c>
      <c r="G32" s="5" t="str">
        <f t="shared" si="1"/>
        <v/>
      </c>
      <c r="H32" s="8">
        <f t="shared" si="2"/>
        <v>0</v>
      </c>
      <c r="I32" s="4" t="str">
        <f t="shared" si="3"/>
        <v/>
      </c>
    </row>
    <row r="33" spans="1:9" x14ac:dyDescent="0.2">
      <c r="A33" s="25"/>
      <c r="B33" s="25"/>
      <c r="C33" s="25"/>
      <c r="D33" s="25"/>
      <c r="E33" s="26" t="str">
        <f>IF(NOT(ISBLANK(A33)),VLOOKUP(A33,Listados!$A$3:$D$1252,2,FALSE),"")</f>
        <v/>
      </c>
      <c r="F33" s="26" t="str">
        <f>IF(NOT(ISBLANK(A33)),VLOOKUP(A33,Listados!$A$3:$D$1252,4,FALSE),"")</f>
        <v/>
      </c>
      <c r="G33" s="5" t="str">
        <f t="shared" si="1"/>
        <v/>
      </c>
      <c r="H33" s="8">
        <f t="shared" si="2"/>
        <v>0</v>
      </c>
      <c r="I33" s="4" t="str">
        <f t="shared" si="3"/>
        <v/>
      </c>
    </row>
    <row r="34" spans="1:9" x14ac:dyDescent="0.2">
      <c r="A34" s="25"/>
      <c r="B34" s="25"/>
      <c r="C34" s="25"/>
      <c r="D34" s="25"/>
      <c r="E34" s="26" t="str">
        <f>IF(NOT(ISBLANK(A34)),VLOOKUP(A34,Listados!$A$3:$D$1252,2,FALSE),"")</f>
        <v/>
      </c>
      <c r="F34" s="26" t="str">
        <f>IF(NOT(ISBLANK(A34)),VLOOKUP(A34,Listados!$A$3:$D$1252,4,FALSE),"")</f>
        <v/>
      </c>
      <c r="G34" s="5" t="str">
        <f t="shared" si="1"/>
        <v/>
      </c>
      <c r="H34" s="8">
        <f t="shared" si="2"/>
        <v>0</v>
      </c>
      <c r="I34" s="4" t="str">
        <f t="shared" si="3"/>
        <v/>
      </c>
    </row>
    <row r="35" spans="1:9" x14ac:dyDescent="0.2">
      <c r="A35" s="25"/>
      <c r="B35" s="25"/>
      <c r="C35" s="25"/>
      <c r="D35" s="25"/>
      <c r="E35" s="26" t="str">
        <f>IF(NOT(ISBLANK(A35)),VLOOKUP(A35,Listados!$A$3:$D$1252,2,FALSE),"")</f>
        <v/>
      </c>
      <c r="F35" s="26" t="str">
        <f>IF(NOT(ISBLANK(A35)),VLOOKUP(A35,Listados!$A$3:$D$1252,4,FALSE),"")</f>
        <v/>
      </c>
      <c r="G35" s="5" t="str">
        <f t="shared" si="1"/>
        <v/>
      </c>
      <c r="H35" s="8">
        <f t="shared" si="2"/>
        <v>0</v>
      </c>
      <c r="I35" s="4" t="str">
        <f t="shared" si="3"/>
        <v/>
      </c>
    </row>
    <row r="36" spans="1:9" x14ac:dyDescent="0.2">
      <c r="A36" s="25"/>
      <c r="B36" s="25"/>
      <c r="C36" s="25"/>
      <c r="D36" s="25"/>
      <c r="E36" s="26" t="str">
        <f>IF(NOT(ISBLANK(A36)),VLOOKUP(A36,Listados!$A$3:$D$1252,2,FALSE),"")</f>
        <v/>
      </c>
      <c r="F36" s="26" t="str">
        <f>IF(NOT(ISBLANK(A36)),VLOOKUP(A36,Listados!$A$3:$D$1252,4,FALSE),"")</f>
        <v/>
      </c>
      <c r="G36" s="5" t="str">
        <f t="shared" si="1"/>
        <v/>
      </c>
      <c r="H36" s="8">
        <f t="shared" si="2"/>
        <v>0</v>
      </c>
      <c r="I36" s="4" t="str">
        <f t="shared" si="3"/>
        <v/>
      </c>
    </row>
    <row r="37" spans="1:9" x14ac:dyDescent="0.2">
      <c r="A37" s="25"/>
      <c r="B37" s="25"/>
      <c r="C37" s="25"/>
      <c r="D37" s="25"/>
      <c r="E37" s="26" t="str">
        <f>IF(NOT(ISBLANK(A37)),VLOOKUP(A37,Listados!$A$3:$D$1252,2,FALSE),"")</f>
        <v/>
      </c>
      <c r="F37" s="26" t="str">
        <f>IF(NOT(ISBLANK(A37)),VLOOKUP(A37,Listados!$A$3:$D$1252,4,FALSE),"")</f>
        <v/>
      </c>
      <c r="G37" s="5" t="str">
        <f t="shared" si="1"/>
        <v/>
      </c>
      <c r="H37" s="8">
        <f t="shared" si="2"/>
        <v>0</v>
      </c>
      <c r="I37" s="4" t="str">
        <f t="shared" si="3"/>
        <v/>
      </c>
    </row>
    <row r="38" spans="1:9" x14ac:dyDescent="0.2">
      <c r="A38" s="25"/>
      <c r="B38" s="25"/>
      <c r="C38" s="25"/>
      <c r="D38" s="25"/>
      <c r="E38" s="26" t="str">
        <f>IF(NOT(ISBLANK(A38)),VLOOKUP(A38,Listados!$A$3:$D$1252,2,FALSE),"")</f>
        <v/>
      </c>
      <c r="F38" s="26" t="str">
        <f>IF(NOT(ISBLANK(A38)),VLOOKUP(A38,Listados!$A$3:$D$1252,4,FALSE),"")</f>
        <v/>
      </c>
      <c r="G38" s="5" t="str">
        <f t="shared" si="1"/>
        <v/>
      </c>
      <c r="H38" s="8">
        <f t="shared" si="2"/>
        <v>0</v>
      </c>
      <c r="I38" s="4" t="str">
        <f t="shared" si="3"/>
        <v/>
      </c>
    </row>
    <row r="39" spans="1:9" x14ac:dyDescent="0.2">
      <c r="A39" s="25"/>
      <c r="B39" s="25"/>
      <c r="C39" s="25"/>
      <c r="D39" s="25"/>
      <c r="E39" s="26" t="str">
        <f>IF(NOT(ISBLANK(A39)),VLOOKUP(A39,Listados!$A$3:$D$1252,2,FALSE),"")</f>
        <v/>
      </c>
      <c r="F39" s="26" t="str">
        <f>IF(NOT(ISBLANK(A39)),VLOOKUP(A39,Listados!$A$3:$D$1252,4,FALSE),"")</f>
        <v/>
      </c>
      <c r="G39" s="5" t="str">
        <f t="shared" si="1"/>
        <v/>
      </c>
      <c r="H39" s="8">
        <f t="shared" si="2"/>
        <v>0</v>
      </c>
      <c r="I39" s="4" t="str">
        <f t="shared" si="3"/>
        <v/>
      </c>
    </row>
    <row r="40" spans="1:9" x14ac:dyDescent="0.2">
      <c r="A40" s="25"/>
      <c r="B40" s="25"/>
      <c r="C40" s="25"/>
      <c r="D40" s="25"/>
      <c r="E40" s="26" t="str">
        <f>IF(NOT(ISBLANK(A40)),VLOOKUP(A40,Listados!$A$3:$D$1252,2,FALSE),"")</f>
        <v/>
      </c>
      <c r="F40" s="26" t="str">
        <f>IF(NOT(ISBLANK(A40)),VLOOKUP(A40,Listados!$A$3:$D$1252,4,FALSE),"")</f>
        <v/>
      </c>
      <c r="G40" s="5" t="str">
        <f t="shared" si="1"/>
        <v/>
      </c>
      <c r="H40" s="8">
        <f t="shared" si="2"/>
        <v>0</v>
      </c>
      <c r="I40" s="4" t="str">
        <f t="shared" si="3"/>
        <v/>
      </c>
    </row>
    <row r="41" spans="1:9" x14ac:dyDescent="0.2">
      <c r="A41" s="25"/>
      <c r="B41" s="25"/>
      <c r="C41" s="25"/>
      <c r="D41" s="25"/>
      <c r="E41" s="26" t="str">
        <f>IF(NOT(ISBLANK(A41)),VLOOKUP(A41,Listados!$A$3:$D$1252,2,FALSE),"")</f>
        <v/>
      </c>
      <c r="F41" s="26" t="str">
        <f>IF(NOT(ISBLANK(A41)),VLOOKUP(A41,Listados!$A$3:$D$1252,4,FALSE),"")</f>
        <v/>
      </c>
      <c r="G41" s="5" t="str">
        <f t="shared" si="1"/>
        <v/>
      </c>
      <c r="H41" s="8">
        <f t="shared" si="2"/>
        <v>0</v>
      </c>
      <c r="I41" s="4" t="str">
        <f t="shared" si="3"/>
        <v/>
      </c>
    </row>
    <row r="42" spans="1:9" x14ac:dyDescent="0.2">
      <c r="A42" s="25"/>
      <c r="B42" s="25"/>
      <c r="C42" s="25"/>
      <c r="D42" s="25"/>
      <c r="E42" s="26" t="str">
        <f>IF(NOT(ISBLANK(A42)),VLOOKUP(A42,Listados!$A$3:$D$1252,2,FALSE),"")</f>
        <v/>
      </c>
      <c r="F42" s="26" t="str">
        <f>IF(NOT(ISBLANK(A42)),VLOOKUP(A42,Listados!$A$3:$D$1252,4,FALSE),"")</f>
        <v/>
      </c>
      <c r="G42" s="5" t="str">
        <f t="shared" si="1"/>
        <v/>
      </c>
      <c r="H42" s="8">
        <f t="shared" si="2"/>
        <v>0</v>
      </c>
      <c r="I42" s="4" t="str">
        <f t="shared" si="3"/>
        <v/>
      </c>
    </row>
    <row r="43" spans="1:9" x14ac:dyDescent="0.2">
      <c r="A43" s="25"/>
      <c r="B43" s="25"/>
      <c r="C43" s="25"/>
      <c r="D43" s="25"/>
      <c r="E43" s="26" t="str">
        <f>IF(NOT(ISBLANK(A43)),VLOOKUP(A43,Listados!$A$3:$D$1252,2,FALSE),"")</f>
        <v/>
      </c>
      <c r="F43" s="26" t="str">
        <f>IF(NOT(ISBLANK(A43)),VLOOKUP(A43,Listados!$A$3:$D$1252,4,FALSE),"")</f>
        <v/>
      </c>
      <c r="G43" s="5" t="str">
        <f t="shared" si="1"/>
        <v/>
      </c>
      <c r="H43" s="8">
        <f t="shared" si="2"/>
        <v>0</v>
      </c>
      <c r="I43" s="4" t="str">
        <f t="shared" si="3"/>
        <v/>
      </c>
    </row>
    <row r="44" spans="1:9" x14ac:dyDescent="0.2">
      <c r="A44" s="25"/>
      <c r="B44" s="25"/>
      <c r="C44" s="25"/>
      <c r="D44" s="25"/>
      <c r="E44" s="26" t="str">
        <f>IF(NOT(ISBLANK(A44)),VLOOKUP(A44,Listados!$A$3:$D$1252,2,FALSE),"")</f>
        <v/>
      </c>
      <c r="F44" s="26" t="str">
        <f>IF(NOT(ISBLANK(A44)),VLOOKUP(A44,Listados!$A$3:$D$1252,4,FALSE),"")</f>
        <v/>
      </c>
      <c r="G44" s="5" t="str">
        <f t="shared" si="1"/>
        <v/>
      </c>
      <c r="H44" s="8">
        <f t="shared" si="2"/>
        <v>0</v>
      </c>
      <c r="I44" s="4" t="str">
        <f t="shared" si="3"/>
        <v/>
      </c>
    </row>
    <row r="45" spans="1:9" x14ac:dyDescent="0.2">
      <c r="A45" s="25"/>
      <c r="B45" s="25"/>
      <c r="C45" s="25"/>
      <c r="D45" s="25"/>
      <c r="E45" s="26" t="str">
        <f>IF(NOT(ISBLANK(A45)),VLOOKUP(A45,Listados!$A$3:$D$1252,2,FALSE),"")</f>
        <v/>
      </c>
      <c r="F45" s="26" t="str">
        <f>IF(NOT(ISBLANK(A45)),VLOOKUP(A45,Listados!$A$3:$D$1252,4,FALSE),"")</f>
        <v/>
      </c>
      <c r="G45" s="5" t="str">
        <f t="shared" si="1"/>
        <v/>
      </c>
      <c r="H45" s="8">
        <f t="shared" si="2"/>
        <v>0</v>
      </c>
      <c r="I45" s="4" t="str">
        <f t="shared" si="3"/>
        <v/>
      </c>
    </row>
    <row r="46" spans="1:9" x14ac:dyDescent="0.2">
      <c r="A46" s="25"/>
      <c r="B46" s="25"/>
      <c r="C46" s="25"/>
      <c r="D46" s="25"/>
      <c r="E46" s="26" t="str">
        <f>IF(NOT(ISBLANK(A46)),VLOOKUP(A46,Listados!$A$3:$D$1252,2,FALSE),"")</f>
        <v/>
      </c>
      <c r="F46" s="26" t="str">
        <f>IF(NOT(ISBLANK(A46)),VLOOKUP(A46,Listados!$A$3:$D$1252,4,FALSE),"")</f>
        <v/>
      </c>
      <c r="G46" s="5" t="str">
        <f t="shared" si="1"/>
        <v/>
      </c>
      <c r="H46" s="8">
        <f t="shared" si="2"/>
        <v>0</v>
      </c>
      <c r="I46" s="4" t="str">
        <f t="shared" si="3"/>
        <v/>
      </c>
    </row>
    <row r="47" spans="1:9" x14ac:dyDescent="0.2">
      <c r="A47" s="25"/>
      <c r="B47" s="25"/>
      <c r="C47" s="25"/>
      <c r="D47" s="25"/>
      <c r="E47" s="26" t="str">
        <f>IF(NOT(ISBLANK(A47)),VLOOKUP(A47,Listados!$A$3:$D$1252,2,FALSE),"")</f>
        <v/>
      </c>
      <c r="F47" s="26" t="str">
        <f>IF(NOT(ISBLANK(A47)),VLOOKUP(A47,Listados!$A$3:$D$1252,4,FALSE),"")</f>
        <v/>
      </c>
      <c r="G47" s="5" t="str">
        <f t="shared" si="1"/>
        <v/>
      </c>
      <c r="H47" s="8">
        <f t="shared" si="2"/>
        <v>0</v>
      </c>
      <c r="I47" s="4" t="str">
        <f t="shared" si="3"/>
        <v/>
      </c>
    </row>
    <row r="48" spans="1:9" x14ac:dyDescent="0.2">
      <c r="A48" s="25"/>
      <c r="B48" s="25"/>
      <c r="C48" s="25"/>
      <c r="D48" s="25"/>
      <c r="E48" s="26" t="str">
        <f>IF(NOT(ISBLANK(A48)),VLOOKUP(A48,Listados!$A$3:$D$1252,2,FALSE),"")</f>
        <v/>
      </c>
      <c r="F48" s="26" t="str">
        <f>IF(NOT(ISBLANK(A48)),VLOOKUP(A48,Listados!$A$3:$D$1252,4,FALSE),"")</f>
        <v/>
      </c>
      <c r="G48" s="5" t="str">
        <f t="shared" si="1"/>
        <v/>
      </c>
      <c r="H48" s="8">
        <f t="shared" si="2"/>
        <v>0</v>
      </c>
      <c r="I48" s="4" t="str">
        <f t="shared" si="3"/>
        <v/>
      </c>
    </row>
    <row r="49" spans="1:9" x14ac:dyDescent="0.2">
      <c r="A49" s="25"/>
      <c r="B49" s="25"/>
      <c r="C49" s="25"/>
      <c r="D49" s="25"/>
      <c r="E49" s="26" t="str">
        <f>IF(NOT(ISBLANK(A49)),VLOOKUP(A49,Listados!$A$3:$D$1252,2,FALSE),"")</f>
        <v/>
      </c>
      <c r="F49" s="26" t="str">
        <f>IF(NOT(ISBLANK(A49)),VLOOKUP(A49,Listados!$A$3:$D$1252,4,FALSE),"")</f>
        <v/>
      </c>
      <c r="G49" s="5" t="str">
        <f t="shared" si="1"/>
        <v/>
      </c>
      <c r="H49" s="8">
        <f t="shared" si="2"/>
        <v>0</v>
      </c>
      <c r="I49" s="4" t="str">
        <f t="shared" si="3"/>
        <v/>
      </c>
    </row>
    <row r="50" spans="1:9" x14ac:dyDescent="0.2">
      <c r="A50" s="25"/>
      <c r="B50" s="25"/>
      <c r="C50" s="25"/>
      <c r="D50" s="25"/>
      <c r="E50" s="26" t="str">
        <f>IF(NOT(ISBLANK(A50)),VLOOKUP(A50,Listados!$A$3:$D$1252,2,FALSE),"")</f>
        <v/>
      </c>
      <c r="F50" s="26" t="str">
        <f>IF(NOT(ISBLANK(A50)),VLOOKUP(A50,Listados!$A$3:$D$1252,4,FALSE),"")</f>
        <v/>
      </c>
      <c r="G50" s="5" t="str">
        <f t="shared" si="1"/>
        <v/>
      </c>
      <c r="H50" s="8">
        <f t="shared" si="2"/>
        <v>0</v>
      </c>
      <c r="I50" s="4" t="str">
        <f t="shared" si="3"/>
        <v/>
      </c>
    </row>
    <row r="51" spans="1:9" x14ac:dyDescent="0.2">
      <c r="A51" s="25"/>
      <c r="B51" s="25"/>
      <c r="C51" s="25"/>
      <c r="D51" s="25"/>
      <c r="E51" s="26" t="str">
        <f>IF(NOT(ISBLANK(A51)),VLOOKUP(A51,Listados!$A$3:$D$1252,2,FALSE),"")</f>
        <v/>
      </c>
      <c r="F51" s="26" t="str">
        <f>IF(NOT(ISBLANK(A51)),VLOOKUP(A51,Listados!$A$3:$D$1252,4,FALSE),"")</f>
        <v/>
      </c>
      <c r="G51" s="5" t="str">
        <f t="shared" si="1"/>
        <v/>
      </c>
      <c r="H51" s="8">
        <f t="shared" si="2"/>
        <v>0</v>
      </c>
      <c r="I51" s="4" t="str">
        <f t="shared" si="3"/>
        <v/>
      </c>
    </row>
    <row r="52" spans="1:9" x14ac:dyDescent="0.2">
      <c r="A52" s="25"/>
      <c r="B52" s="25"/>
      <c r="C52" s="25"/>
      <c r="D52" s="25"/>
      <c r="E52" s="26" t="str">
        <f>IF(NOT(ISBLANK(A52)),VLOOKUP(A52,Listados!$A$3:$D$1252,2,FALSE),"")</f>
        <v/>
      </c>
      <c r="F52" s="26" t="str">
        <f>IF(NOT(ISBLANK(A52)),VLOOKUP(A52,Listados!$A$3:$D$1252,4,FALSE),"")</f>
        <v/>
      </c>
      <c r="G52" s="5" t="str">
        <f t="shared" si="1"/>
        <v/>
      </c>
      <c r="H52" s="8">
        <f t="shared" si="2"/>
        <v>0</v>
      </c>
      <c r="I52" s="4" t="str">
        <f t="shared" si="3"/>
        <v/>
      </c>
    </row>
    <row r="53" spans="1:9" x14ac:dyDescent="0.2">
      <c r="A53" s="25"/>
      <c r="B53" s="25"/>
      <c r="C53" s="25"/>
      <c r="D53" s="25"/>
      <c r="E53" s="26" t="str">
        <f>IF(NOT(ISBLANK(A53)),VLOOKUP(A53,Listados!$A$3:$D$1252,2,FALSE),"")</f>
        <v/>
      </c>
      <c r="F53" s="26" t="str">
        <f>IF(NOT(ISBLANK(A53)),VLOOKUP(A53,Listados!$A$3:$D$1252,4,FALSE),"")</f>
        <v/>
      </c>
      <c r="G53" s="5" t="str">
        <f t="shared" si="1"/>
        <v/>
      </c>
      <c r="H53" s="8">
        <f t="shared" si="2"/>
        <v>0</v>
      </c>
      <c r="I53" s="4" t="str">
        <f t="shared" si="3"/>
        <v/>
      </c>
    </row>
    <row r="54" spans="1:9" x14ac:dyDescent="0.2">
      <c r="A54" s="25"/>
      <c r="B54" s="25"/>
      <c r="C54" s="25"/>
      <c r="D54" s="25"/>
      <c r="E54" s="26" t="str">
        <f>IF(NOT(ISBLANK(A54)),VLOOKUP(A54,Listados!$A$3:$D$1252,2,FALSE),"")</f>
        <v/>
      </c>
      <c r="F54" s="26" t="str">
        <f>IF(NOT(ISBLANK(A54)),VLOOKUP(A54,Listados!$A$3:$D$1252,4,FALSE),"")</f>
        <v/>
      </c>
      <c r="G54" s="5" t="str">
        <f t="shared" si="1"/>
        <v/>
      </c>
      <c r="H54" s="8">
        <f t="shared" si="2"/>
        <v>0</v>
      </c>
      <c r="I54" s="4" t="str">
        <f t="shared" si="3"/>
        <v/>
      </c>
    </row>
    <row r="55" spans="1:9" x14ac:dyDescent="0.2">
      <c r="A55" s="25"/>
      <c r="B55" s="25"/>
      <c r="C55" s="25"/>
      <c r="D55" s="25"/>
      <c r="E55" s="26" t="str">
        <f>IF(NOT(ISBLANK(A55)),VLOOKUP(A55,Listados!$A$3:$D$1252,2,FALSE),"")</f>
        <v/>
      </c>
      <c r="F55" s="26" t="str">
        <f>IF(NOT(ISBLANK(A55)),VLOOKUP(A55,Listados!$A$3:$D$1252,4,FALSE),"")</f>
        <v/>
      </c>
      <c r="G55" s="5" t="str">
        <f t="shared" si="1"/>
        <v/>
      </c>
      <c r="H55" s="8">
        <f t="shared" si="2"/>
        <v>0</v>
      </c>
      <c r="I55" s="4" t="str">
        <f t="shared" si="3"/>
        <v/>
      </c>
    </row>
    <row r="56" spans="1:9" x14ac:dyDescent="0.2">
      <c r="A56" s="25"/>
      <c r="B56" s="25"/>
      <c r="C56" s="25"/>
      <c r="D56" s="25"/>
      <c r="E56" s="26" t="str">
        <f>IF(NOT(ISBLANK(A56)),VLOOKUP(A56,Listados!$A$3:$D$1252,2,FALSE),"")</f>
        <v/>
      </c>
      <c r="F56" s="26" t="str">
        <f>IF(NOT(ISBLANK(A56)),VLOOKUP(A56,Listados!$A$3:$D$1252,4,FALSE),"")</f>
        <v/>
      </c>
      <c r="G56" s="5" t="str">
        <f t="shared" si="1"/>
        <v/>
      </c>
      <c r="H56" s="8">
        <f t="shared" si="2"/>
        <v>0</v>
      </c>
      <c r="I56" s="4" t="str">
        <f t="shared" si="3"/>
        <v/>
      </c>
    </row>
    <row r="57" spans="1:9" x14ac:dyDescent="0.2">
      <c r="A57" s="25"/>
      <c r="B57" s="25"/>
      <c r="C57" s="25"/>
      <c r="D57" s="25"/>
      <c r="E57" s="26" t="str">
        <f>IF(NOT(ISBLANK(A57)),VLOOKUP(A57,Listados!$A$3:$D$1252,2,FALSE),"")</f>
        <v/>
      </c>
      <c r="F57" s="26" t="str">
        <f>IF(NOT(ISBLANK(A57)),VLOOKUP(A57,Listados!$A$3:$D$1252,4,FALSE),"")</f>
        <v/>
      </c>
      <c r="G57" s="5" t="str">
        <f t="shared" si="1"/>
        <v/>
      </c>
      <c r="H57" s="8">
        <f t="shared" si="2"/>
        <v>0</v>
      </c>
      <c r="I57" s="4" t="str">
        <f t="shared" si="3"/>
        <v/>
      </c>
    </row>
    <row r="58" spans="1:9" x14ac:dyDescent="0.2">
      <c r="A58" s="25"/>
      <c r="B58" s="25"/>
      <c r="C58" s="25"/>
      <c r="D58" s="25"/>
      <c r="E58" s="26" t="str">
        <f>IF(NOT(ISBLANK(A58)),VLOOKUP(A58,Listados!$A$3:$D$1252,2,FALSE),"")</f>
        <v/>
      </c>
      <c r="F58" s="26" t="str">
        <f>IF(NOT(ISBLANK(A58)),VLOOKUP(A58,Listados!$A$3:$D$1252,4,FALSE),"")</f>
        <v/>
      </c>
      <c r="G58" s="5" t="str">
        <f t="shared" si="1"/>
        <v/>
      </c>
      <c r="H58" s="8">
        <f t="shared" si="2"/>
        <v>0</v>
      </c>
      <c r="I58" s="4" t="str">
        <f t="shared" si="3"/>
        <v/>
      </c>
    </row>
    <row r="59" spans="1:9" x14ac:dyDescent="0.2">
      <c r="A59" s="25"/>
      <c r="B59" s="25"/>
      <c r="C59" s="25"/>
      <c r="D59" s="25"/>
      <c r="E59" s="26" t="str">
        <f>IF(NOT(ISBLANK(A59)),VLOOKUP(A59,Listados!$A$3:$D$1252,2,FALSE),"")</f>
        <v/>
      </c>
      <c r="F59" s="26" t="str">
        <f>IF(NOT(ISBLANK(A59)),VLOOKUP(A59,Listados!$A$3:$D$1252,4,FALSE),"")</f>
        <v/>
      </c>
      <c r="G59" s="5" t="str">
        <f t="shared" si="1"/>
        <v/>
      </c>
      <c r="H59" s="8">
        <f t="shared" si="2"/>
        <v>0</v>
      </c>
      <c r="I59" s="4" t="str">
        <f t="shared" si="3"/>
        <v/>
      </c>
    </row>
    <row r="60" spans="1:9" x14ac:dyDescent="0.2">
      <c r="A60" s="25"/>
      <c r="B60" s="25"/>
      <c r="C60" s="25"/>
      <c r="D60" s="25"/>
      <c r="E60" s="26" t="str">
        <f>IF(NOT(ISBLANK(A60)),VLOOKUP(A60,Listados!$A$3:$D$1252,2,FALSE),"")</f>
        <v/>
      </c>
      <c r="F60" s="26" t="str">
        <f>IF(NOT(ISBLANK(A60)),VLOOKUP(A60,Listados!$A$3:$D$1252,4,FALSE),"")</f>
        <v/>
      </c>
      <c r="G60" s="5" t="str">
        <f t="shared" si="1"/>
        <v/>
      </c>
      <c r="H60" s="8">
        <f t="shared" si="2"/>
        <v>0</v>
      </c>
      <c r="I60" s="4" t="str">
        <f t="shared" si="3"/>
        <v/>
      </c>
    </row>
    <row r="61" spans="1:9" x14ac:dyDescent="0.2">
      <c r="A61" s="25"/>
      <c r="B61" s="25"/>
      <c r="C61" s="25"/>
      <c r="D61" s="25"/>
      <c r="E61" s="26" t="str">
        <f>IF(NOT(ISBLANK(A61)),VLOOKUP(A61,Listados!$A$3:$D$1252,2,FALSE),"")</f>
        <v/>
      </c>
      <c r="F61" s="26" t="str">
        <f>IF(NOT(ISBLANK(A61)),VLOOKUP(A61,Listados!$A$3:$D$1252,4,FALSE),"")</f>
        <v/>
      </c>
      <c r="G61" s="5" t="str">
        <f t="shared" si="1"/>
        <v/>
      </c>
      <c r="H61" s="8">
        <f t="shared" si="2"/>
        <v>0</v>
      </c>
      <c r="I61" s="4" t="str">
        <f t="shared" si="3"/>
        <v/>
      </c>
    </row>
    <row r="62" spans="1:9" x14ac:dyDescent="0.2">
      <c r="A62" s="25"/>
      <c r="B62" s="25"/>
      <c r="C62" s="25"/>
      <c r="D62" s="25"/>
      <c r="E62" s="26" t="str">
        <f>IF(NOT(ISBLANK(A62)),VLOOKUP(A62,Listados!$A$3:$D$1252,2,FALSE),"")</f>
        <v/>
      </c>
      <c r="F62" s="26" t="str">
        <f>IF(NOT(ISBLANK(A62)),VLOOKUP(A62,Listados!$A$3:$D$1252,4,FALSE),"")</f>
        <v/>
      </c>
      <c r="G62" s="5" t="str">
        <f t="shared" si="1"/>
        <v/>
      </c>
      <c r="H62" s="8">
        <f t="shared" si="2"/>
        <v>0</v>
      </c>
      <c r="I62" s="4" t="str">
        <f t="shared" si="3"/>
        <v/>
      </c>
    </row>
    <row r="63" spans="1:9" x14ac:dyDescent="0.2">
      <c r="A63" s="25"/>
      <c r="B63" s="25"/>
      <c r="C63" s="25"/>
      <c r="D63" s="25"/>
      <c r="E63" s="26" t="str">
        <f>IF(NOT(ISBLANK(A63)),VLOOKUP(A63,Listados!$A$3:$D$1252,2,FALSE),"")</f>
        <v/>
      </c>
      <c r="F63" s="26" t="str">
        <f>IF(NOT(ISBLANK(A63)),VLOOKUP(A63,Listados!$A$3:$D$1252,4,FALSE),"")</f>
        <v/>
      </c>
      <c r="G63" s="5" t="str">
        <f t="shared" si="1"/>
        <v/>
      </c>
      <c r="H63" s="8">
        <f t="shared" si="2"/>
        <v>0</v>
      </c>
      <c r="I63" s="4" t="str">
        <f t="shared" si="3"/>
        <v/>
      </c>
    </row>
    <row r="64" spans="1:9" x14ac:dyDescent="0.2">
      <c r="A64" s="25"/>
      <c r="B64" s="25"/>
      <c r="C64" s="25"/>
      <c r="D64" s="25"/>
      <c r="E64" s="26" t="str">
        <f>IF(NOT(ISBLANK(A64)),VLOOKUP(A64,Listados!$A$3:$D$1252,2,FALSE),"")</f>
        <v/>
      </c>
      <c r="F64" s="26" t="str">
        <f>IF(NOT(ISBLANK(A64)),VLOOKUP(A64,Listados!$A$3:$D$1252,4,FALSE),"")</f>
        <v/>
      </c>
      <c r="G64" s="5" t="str">
        <f t="shared" si="1"/>
        <v/>
      </c>
      <c r="H64" s="8">
        <f t="shared" si="2"/>
        <v>0</v>
      </c>
      <c r="I64" s="4" t="str">
        <f t="shared" si="3"/>
        <v/>
      </c>
    </row>
    <row r="65" spans="1:9" x14ac:dyDescent="0.2">
      <c r="A65" s="25"/>
      <c r="B65" s="25"/>
      <c r="C65" s="25"/>
      <c r="D65" s="25"/>
      <c r="E65" s="26" t="str">
        <f>IF(NOT(ISBLANK(A65)),VLOOKUP(A65,Listados!$A$3:$D$1252,2,FALSE),"")</f>
        <v/>
      </c>
      <c r="F65" s="26" t="str">
        <f>IF(NOT(ISBLANK(A65)),VLOOKUP(A65,Listados!$A$3:$D$1252,4,FALSE),"")</f>
        <v/>
      </c>
      <c r="G65" s="5" t="str">
        <f t="shared" si="1"/>
        <v/>
      </c>
      <c r="H65" s="8">
        <f t="shared" si="2"/>
        <v>0</v>
      </c>
      <c r="I65" s="4" t="str">
        <f t="shared" si="3"/>
        <v/>
      </c>
    </row>
    <row r="66" spans="1:9" x14ac:dyDescent="0.2">
      <c r="A66" s="25"/>
      <c r="B66" s="25"/>
      <c r="C66" s="25"/>
      <c r="D66" s="25"/>
      <c r="E66" s="26" t="str">
        <f>IF(NOT(ISBLANK(A66)),VLOOKUP(A66,Listados!$A$3:$D$1252,2,FALSE),"")</f>
        <v/>
      </c>
      <c r="F66" s="26" t="str">
        <f>IF(NOT(ISBLANK(A66)),VLOOKUP(A66,Listados!$A$3:$D$1252,4,FALSE),"")</f>
        <v/>
      </c>
      <c r="G66" s="5" t="str">
        <f t="shared" si="1"/>
        <v/>
      </c>
      <c r="H66" s="8">
        <f t="shared" si="2"/>
        <v>0</v>
      </c>
      <c r="I66" s="4" t="str">
        <f t="shared" si="3"/>
        <v/>
      </c>
    </row>
    <row r="67" spans="1:9" x14ac:dyDescent="0.2">
      <c r="A67" s="25"/>
      <c r="B67" s="25"/>
      <c r="C67" s="25"/>
      <c r="D67" s="25"/>
      <c r="E67" s="26" t="str">
        <f>IF(NOT(ISBLANK(A67)),VLOOKUP(A67,Listados!$A$3:$D$1252,2,FALSE),"")</f>
        <v/>
      </c>
      <c r="F67" s="26" t="str">
        <f>IF(NOT(ISBLANK(A67)),VLOOKUP(A67,Listados!$A$3:$D$1252,4,FALSE),"")</f>
        <v/>
      </c>
      <c r="G67" s="5" t="str">
        <f t="shared" si="1"/>
        <v/>
      </c>
      <c r="H67" s="8">
        <f t="shared" si="2"/>
        <v>0</v>
      </c>
      <c r="I67" s="4" t="str">
        <f t="shared" si="3"/>
        <v/>
      </c>
    </row>
    <row r="68" spans="1:9" x14ac:dyDescent="0.2">
      <c r="A68" s="25"/>
      <c r="B68" s="25"/>
      <c r="C68" s="25"/>
      <c r="D68" s="25"/>
      <c r="E68" s="26" t="str">
        <f>IF(NOT(ISBLANK(A68)),VLOOKUP(A68,Listados!$A$3:$D$1252,2,FALSE),"")</f>
        <v/>
      </c>
      <c r="F68" s="26" t="str">
        <f>IF(NOT(ISBLANK(A68)),VLOOKUP(A68,Listados!$A$3:$D$1252,4,FALSE),"")</f>
        <v/>
      </c>
      <c r="G68" s="5" t="str">
        <f t="shared" si="1"/>
        <v/>
      </c>
      <c r="H68" s="8">
        <f t="shared" si="2"/>
        <v>0</v>
      </c>
      <c r="I68" s="4" t="str">
        <f t="shared" si="3"/>
        <v/>
      </c>
    </row>
    <row r="69" spans="1:9" x14ac:dyDescent="0.2">
      <c r="A69" s="25"/>
      <c r="B69" s="25"/>
      <c r="C69" s="25"/>
      <c r="D69" s="25"/>
      <c r="E69" s="26" t="str">
        <f>IF(NOT(ISBLANK(A69)),VLOOKUP(A69,Listados!$A$3:$D$1252,2,FALSE),"")</f>
        <v/>
      </c>
      <c r="F69" s="26" t="str">
        <f>IF(NOT(ISBLANK(A69)),VLOOKUP(A69,Listados!$A$3:$D$1252,4,FALSE),"")</f>
        <v/>
      </c>
      <c r="G69" s="5" t="str">
        <f t="shared" si="1"/>
        <v/>
      </c>
      <c r="H69" s="8">
        <f t="shared" si="2"/>
        <v>0</v>
      </c>
      <c r="I69" s="4" t="str">
        <f t="shared" si="3"/>
        <v/>
      </c>
    </row>
    <row r="70" spans="1:9" x14ac:dyDescent="0.2">
      <c r="A70" s="25"/>
      <c r="B70" s="25"/>
      <c r="C70" s="25"/>
      <c r="D70" s="25"/>
      <c r="E70" s="26" t="str">
        <f>IF(NOT(ISBLANK(A70)),VLOOKUP(A70,Listados!$A$3:$D$1252,2,FALSE),"")</f>
        <v/>
      </c>
      <c r="F70" s="26" t="str">
        <f>IF(NOT(ISBLANK(A70)),VLOOKUP(A70,Listados!$A$3:$D$1252,4,FALSE),"")</f>
        <v/>
      </c>
      <c r="G70" s="5" t="str">
        <f t="shared" si="1"/>
        <v/>
      </c>
      <c r="H70" s="8">
        <f t="shared" si="2"/>
        <v>0</v>
      </c>
      <c r="I70" s="4" t="str">
        <f t="shared" si="3"/>
        <v/>
      </c>
    </row>
    <row r="71" spans="1:9" x14ac:dyDescent="0.2">
      <c r="A71" s="25"/>
      <c r="B71" s="25"/>
      <c r="C71" s="25"/>
      <c r="D71" s="25"/>
      <c r="E71" s="26" t="str">
        <f>IF(NOT(ISBLANK(A71)),VLOOKUP(A71,Listados!$A$3:$D$1252,2,FALSE),"")</f>
        <v/>
      </c>
      <c r="F71" s="26" t="str">
        <f>IF(NOT(ISBLANK(A71)),VLOOKUP(A71,Listados!$A$3:$D$1252,4,FALSE),"")</f>
        <v/>
      </c>
      <c r="G71" s="5" t="str">
        <f t="shared" si="1"/>
        <v/>
      </c>
      <c r="H71" s="8">
        <f t="shared" si="2"/>
        <v>0</v>
      </c>
      <c r="I71" s="4" t="str">
        <f t="shared" si="3"/>
        <v/>
      </c>
    </row>
    <row r="72" spans="1:9" x14ac:dyDescent="0.2">
      <c r="A72" s="25"/>
      <c r="B72" s="25"/>
      <c r="C72" s="25"/>
      <c r="D72" s="25"/>
      <c r="E72" s="26" t="str">
        <f>IF(NOT(ISBLANK(A72)),VLOOKUP(A72,Listados!$A$3:$D$1252,2,FALSE),"")</f>
        <v/>
      </c>
      <c r="F72" s="26" t="str">
        <f>IF(NOT(ISBLANK(A72)),VLOOKUP(A72,Listados!$A$3:$D$1252,4,FALSE),"")</f>
        <v/>
      </c>
      <c r="G72" s="5" t="str">
        <f t="shared" si="1"/>
        <v/>
      </c>
      <c r="H72" s="8">
        <f t="shared" si="2"/>
        <v>0</v>
      </c>
      <c r="I72" s="4" t="str">
        <f t="shared" si="3"/>
        <v/>
      </c>
    </row>
    <row r="73" spans="1:9" x14ac:dyDescent="0.2">
      <c r="A73" s="25"/>
      <c r="B73" s="25"/>
      <c r="C73" s="25"/>
      <c r="D73" s="25"/>
      <c r="E73" s="26" t="str">
        <f>IF(NOT(ISBLANK(A73)),VLOOKUP(A73,Listados!$A$3:$D$1252,2,FALSE),"")</f>
        <v/>
      </c>
      <c r="F73" s="26" t="str">
        <f>IF(NOT(ISBLANK(A73)),VLOOKUP(A73,Listados!$A$3:$D$1252,4,FALSE),"")</f>
        <v/>
      </c>
      <c r="G73" s="5" t="str">
        <f t="shared" si="1"/>
        <v/>
      </c>
      <c r="H73" s="8">
        <f t="shared" si="2"/>
        <v>0</v>
      </c>
      <c r="I73" s="4" t="str">
        <f t="shared" si="3"/>
        <v/>
      </c>
    </row>
    <row r="74" spans="1:9" x14ac:dyDescent="0.2">
      <c r="A74" s="25"/>
      <c r="B74" s="25"/>
      <c r="C74" s="25"/>
      <c r="D74" s="25"/>
      <c r="E74" s="26" t="str">
        <f>IF(NOT(ISBLANK(A74)),VLOOKUP(A74,Listados!$A$3:$D$1252,2,FALSE),"")</f>
        <v/>
      </c>
      <c r="F74" s="26" t="str">
        <f>IF(NOT(ISBLANK(A74)),VLOOKUP(A74,Listados!$A$3:$D$1252,4,FALSE),"")</f>
        <v/>
      </c>
      <c r="G74" s="5" t="str">
        <f t="shared" si="1"/>
        <v/>
      </c>
      <c r="H74" s="8">
        <f t="shared" si="2"/>
        <v>0</v>
      </c>
      <c r="I74" s="4" t="str">
        <f t="shared" si="3"/>
        <v/>
      </c>
    </row>
    <row r="75" spans="1:9" x14ac:dyDescent="0.2">
      <c r="A75" s="25"/>
      <c r="B75" s="25"/>
      <c r="C75" s="25"/>
      <c r="D75" s="25"/>
      <c r="E75" s="26" t="str">
        <f>IF(NOT(ISBLANK(A75)),VLOOKUP(A75,Listados!$A$3:$D$1252,2,FALSE),"")</f>
        <v/>
      </c>
      <c r="F75" s="26" t="str">
        <f>IF(NOT(ISBLANK(A75)),VLOOKUP(A75,Listados!$A$3:$D$1252,4,FALSE),"")</f>
        <v/>
      </c>
      <c r="G75" s="5" t="str">
        <f t="shared" si="1"/>
        <v/>
      </c>
      <c r="H75" s="8">
        <f t="shared" si="2"/>
        <v>0</v>
      </c>
      <c r="I75" s="4" t="str">
        <f t="shared" si="3"/>
        <v/>
      </c>
    </row>
    <row r="76" spans="1:9" x14ac:dyDescent="0.2">
      <c r="A76" s="25"/>
      <c r="B76" s="25"/>
      <c r="C76" s="25"/>
      <c r="D76" s="25"/>
      <c r="E76" s="26" t="str">
        <f>IF(NOT(ISBLANK(A76)),VLOOKUP(A76,Listados!$A$3:$D$1252,2,FALSE),"")</f>
        <v/>
      </c>
      <c r="F76" s="26" t="str">
        <f>IF(NOT(ISBLANK(A76)),VLOOKUP(A76,Listados!$A$3:$D$1252,4,FALSE),"")</f>
        <v/>
      </c>
      <c r="G76" s="5" t="str">
        <f t="shared" si="1"/>
        <v/>
      </c>
      <c r="H76" s="8">
        <f t="shared" si="2"/>
        <v>0</v>
      </c>
      <c r="I76" s="4" t="str">
        <f t="shared" si="3"/>
        <v/>
      </c>
    </row>
    <row r="77" spans="1:9" x14ac:dyDescent="0.2">
      <c r="A77" s="25"/>
      <c r="B77" s="25"/>
      <c r="C77" s="25"/>
      <c r="D77" s="25"/>
      <c r="E77" s="26" t="str">
        <f>IF(NOT(ISBLANK(A77)),VLOOKUP(A77,Listados!$A$3:$D$1252,2,FALSE),"")</f>
        <v/>
      </c>
      <c r="F77" s="26" t="str">
        <f>IF(NOT(ISBLANK(A77)),VLOOKUP(A77,Listados!$A$3:$D$1252,4,FALSE),"")</f>
        <v/>
      </c>
      <c r="G77" s="5" t="str">
        <f t="shared" si="1"/>
        <v/>
      </c>
      <c r="H77" s="8">
        <f t="shared" si="2"/>
        <v>0</v>
      </c>
      <c r="I77" s="4" t="str">
        <f t="shared" si="3"/>
        <v/>
      </c>
    </row>
    <row r="78" spans="1:9" x14ac:dyDescent="0.2">
      <c r="A78" s="25"/>
      <c r="B78" s="25"/>
      <c r="C78" s="25"/>
      <c r="D78" s="25"/>
      <c r="E78" s="26" t="str">
        <f>IF(NOT(ISBLANK(A78)),VLOOKUP(A78,Listados!$A$3:$D$1252,2,FALSE),"")</f>
        <v/>
      </c>
      <c r="F78" s="26" t="str">
        <f>IF(NOT(ISBLANK(A78)),VLOOKUP(A78,Listados!$A$3:$D$1252,4,FALSE),"")</f>
        <v/>
      </c>
      <c r="G78" s="5" t="str">
        <f t="shared" si="1"/>
        <v/>
      </c>
      <c r="H78" s="8">
        <f t="shared" si="2"/>
        <v>0</v>
      </c>
      <c r="I78" s="4" t="str">
        <f t="shared" si="3"/>
        <v/>
      </c>
    </row>
    <row r="79" spans="1:9" x14ac:dyDescent="0.2">
      <c r="A79" s="25"/>
      <c r="B79" s="25"/>
      <c r="C79" s="25"/>
      <c r="D79" s="25"/>
      <c r="E79" s="26" t="str">
        <f>IF(NOT(ISBLANK(A79)),VLOOKUP(A79,Listados!$A$3:$D$1252,2,FALSE),"")</f>
        <v/>
      </c>
      <c r="F79" s="26" t="str">
        <f>IF(NOT(ISBLANK(A79)),VLOOKUP(A79,Listados!$A$3:$D$1252,4,FALSE),"")</f>
        <v/>
      </c>
      <c r="G79" s="5" t="str">
        <f t="shared" si="1"/>
        <v/>
      </c>
      <c r="H79" s="8">
        <f t="shared" si="2"/>
        <v>0</v>
      </c>
      <c r="I79" s="4" t="str">
        <f t="shared" si="3"/>
        <v/>
      </c>
    </row>
    <row r="80" spans="1:9" x14ac:dyDescent="0.2">
      <c r="A80" s="25"/>
      <c r="B80" s="25"/>
      <c r="C80" s="25"/>
      <c r="D80" s="25"/>
      <c r="E80" s="26" t="str">
        <f>IF(NOT(ISBLANK(A80)),VLOOKUP(A80,Listados!$A$3:$D$1252,2,FALSE),"")</f>
        <v/>
      </c>
      <c r="F80" s="26" t="str">
        <f>IF(NOT(ISBLANK(A80)),VLOOKUP(A80,Listados!$A$3:$D$1252,4,FALSE),"")</f>
        <v/>
      </c>
      <c r="G80" s="5" t="str">
        <f t="shared" ref="G80:G143" si="4">IF(ISERROR(E80),"El código de ciudad no es válido",IF(AND(NOT(ISNUMBER(SUM(B80:D80))),NOT(A80="")),"Escriba la muestra para esta ciudad",""))</f>
        <v/>
      </c>
      <c r="H80" s="8">
        <f t="shared" ref="H80:H143" si="5">IF(NOT(G80=""),1,0)</f>
        <v>0</v>
      </c>
      <c r="I80" s="4" t="str">
        <f t="shared" ref="I80:I143" si="6">_xlfn.CONCAT(IF(AND(NOT(A80=""),ISNUMBER(B80)),"EXEC [dbo].[IQ_InsertarMuestra_WORK] "&amp;A80&amp;", "&amp;B80&amp;", 30, "&amp;$I$8&amp;", "&amp;$I$11&amp;", "&amp;$I$10&amp;", "&amp;$I$9&amp;";",""),IF(AND(NOT(A80=""),ISNUMBER(C80)),"EXEC [dbo].[IQ_InsertarMuestra_WORK] "&amp;A80&amp;", "&amp;C80&amp;", 20, "&amp;$I$8&amp;", "&amp;$I$11&amp;", "&amp;$I$10&amp;", "&amp;$I$9&amp;";",""),IF(AND(NOT(A80=""),ISNUMBER(D80)),"EXEC [dbo].[IQ_InsertarMuestra_WORK] "&amp;A80&amp;", "&amp;D80&amp;", 10, "&amp;$I$8&amp;", "&amp;$I$11&amp;", "&amp;$I$10&amp;", "&amp;$I$9&amp;";",""))</f>
        <v/>
      </c>
    </row>
    <row r="81" spans="1:9" x14ac:dyDescent="0.2">
      <c r="A81" s="25"/>
      <c r="B81" s="25"/>
      <c r="C81" s="25"/>
      <c r="D81" s="25"/>
      <c r="E81" s="26" t="str">
        <f>IF(NOT(ISBLANK(A81)),VLOOKUP(A81,Listados!$A$3:$D$1252,2,FALSE),"")</f>
        <v/>
      </c>
      <c r="F81" s="26" t="str">
        <f>IF(NOT(ISBLANK(A81)),VLOOKUP(A81,Listados!$A$3:$D$1252,4,FALSE),"")</f>
        <v/>
      </c>
      <c r="G81" s="5" t="str">
        <f t="shared" si="4"/>
        <v/>
      </c>
      <c r="H81" s="8">
        <f t="shared" si="5"/>
        <v>0</v>
      </c>
      <c r="I81" s="4" t="str">
        <f t="shared" si="6"/>
        <v/>
      </c>
    </row>
    <row r="82" spans="1:9" x14ac:dyDescent="0.2">
      <c r="A82" s="25"/>
      <c r="B82" s="25"/>
      <c r="C82" s="25"/>
      <c r="D82" s="25"/>
      <c r="E82" s="26" t="str">
        <f>IF(NOT(ISBLANK(A82)),VLOOKUP(A82,Listados!$A$3:$D$1252,2,FALSE),"")</f>
        <v/>
      </c>
      <c r="F82" s="26" t="str">
        <f>IF(NOT(ISBLANK(A82)),VLOOKUP(A82,Listados!$A$3:$D$1252,4,FALSE),"")</f>
        <v/>
      </c>
      <c r="G82" s="5" t="str">
        <f t="shared" si="4"/>
        <v/>
      </c>
      <c r="H82" s="8">
        <f t="shared" si="5"/>
        <v>0</v>
      </c>
      <c r="I82" s="4" t="str">
        <f t="shared" si="6"/>
        <v/>
      </c>
    </row>
    <row r="83" spans="1:9" x14ac:dyDescent="0.2">
      <c r="A83" s="25"/>
      <c r="B83" s="25"/>
      <c r="C83" s="25"/>
      <c r="D83" s="25"/>
      <c r="E83" s="26" t="str">
        <f>IF(NOT(ISBLANK(A83)),VLOOKUP(A83,Listados!$A$3:$D$1252,2,FALSE),"")</f>
        <v/>
      </c>
      <c r="F83" s="26" t="str">
        <f>IF(NOT(ISBLANK(A83)),VLOOKUP(A83,Listados!$A$3:$D$1252,4,FALSE),"")</f>
        <v/>
      </c>
      <c r="G83" s="5" t="str">
        <f t="shared" si="4"/>
        <v/>
      </c>
      <c r="H83" s="8">
        <f t="shared" si="5"/>
        <v>0</v>
      </c>
      <c r="I83" s="4" t="str">
        <f t="shared" si="6"/>
        <v/>
      </c>
    </row>
    <row r="84" spans="1:9" x14ac:dyDescent="0.2">
      <c r="A84" s="25"/>
      <c r="B84" s="25"/>
      <c r="C84" s="25"/>
      <c r="D84" s="25"/>
      <c r="E84" s="26" t="str">
        <f>IF(NOT(ISBLANK(A84)),VLOOKUP(A84,Listados!$A$3:$D$1252,2,FALSE),"")</f>
        <v/>
      </c>
      <c r="F84" s="26" t="str">
        <f>IF(NOT(ISBLANK(A84)),VLOOKUP(A84,Listados!$A$3:$D$1252,4,FALSE),"")</f>
        <v/>
      </c>
      <c r="G84" s="5" t="str">
        <f t="shared" si="4"/>
        <v/>
      </c>
      <c r="H84" s="8">
        <f t="shared" si="5"/>
        <v>0</v>
      </c>
      <c r="I84" s="4" t="str">
        <f t="shared" si="6"/>
        <v/>
      </c>
    </row>
    <row r="85" spans="1:9" x14ac:dyDescent="0.2">
      <c r="A85" s="25"/>
      <c r="B85" s="25"/>
      <c r="C85" s="25"/>
      <c r="D85" s="25"/>
      <c r="E85" s="26" t="str">
        <f>IF(NOT(ISBLANK(A85)),VLOOKUP(A85,Listados!$A$3:$D$1252,2,FALSE),"")</f>
        <v/>
      </c>
      <c r="F85" s="26" t="str">
        <f>IF(NOT(ISBLANK(A85)),VLOOKUP(A85,Listados!$A$3:$D$1252,4,FALSE),"")</f>
        <v/>
      </c>
      <c r="G85" s="5" t="str">
        <f t="shared" si="4"/>
        <v/>
      </c>
      <c r="H85" s="8">
        <f t="shared" si="5"/>
        <v>0</v>
      </c>
      <c r="I85" s="4" t="str">
        <f t="shared" si="6"/>
        <v/>
      </c>
    </row>
    <row r="86" spans="1:9" x14ac:dyDescent="0.2">
      <c r="A86" s="25"/>
      <c r="B86" s="25"/>
      <c r="C86" s="25"/>
      <c r="D86" s="25"/>
      <c r="E86" s="26" t="str">
        <f>IF(NOT(ISBLANK(A86)),VLOOKUP(A86,Listados!$A$3:$D$1252,2,FALSE),"")</f>
        <v/>
      </c>
      <c r="F86" s="26" t="str">
        <f>IF(NOT(ISBLANK(A86)),VLOOKUP(A86,Listados!$A$3:$D$1252,4,FALSE),"")</f>
        <v/>
      </c>
      <c r="G86" s="5" t="str">
        <f t="shared" si="4"/>
        <v/>
      </c>
      <c r="H86" s="8">
        <f t="shared" si="5"/>
        <v>0</v>
      </c>
      <c r="I86" s="4" t="str">
        <f t="shared" si="6"/>
        <v/>
      </c>
    </row>
    <row r="87" spans="1:9" x14ac:dyDescent="0.2">
      <c r="A87" s="25"/>
      <c r="B87" s="25"/>
      <c r="C87" s="25"/>
      <c r="D87" s="25"/>
      <c r="E87" s="26" t="str">
        <f>IF(NOT(ISBLANK(A87)),VLOOKUP(A87,Listados!$A$3:$D$1252,2,FALSE),"")</f>
        <v/>
      </c>
      <c r="F87" s="26" t="str">
        <f>IF(NOT(ISBLANK(A87)),VLOOKUP(A87,Listados!$A$3:$D$1252,4,FALSE),"")</f>
        <v/>
      </c>
      <c r="G87" s="5" t="str">
        <f t="shared" si="4"/>
        <v/>
      </c>
      <c r="H87" s="8">
        <f t="shared" si="5"/>
        <v>0</v>
      </c>
      <c r="I87" s="4" t="str">
        <f t="shared" si="6"/>
        <v/>
      </c>
    </row>
    <row r="88" spans="1:9" x14ac:dyDescent="0.2">
      <c r="A88" s="25"/>
      <c r="B88" s="25"/>
      <c r="C88" s="25"/>
      <c r="D88" s="25"/>
      <c r="E88" s="26" t="str">
        <f>IF(NOT(ISBLANK(A88)),VLOOKUP(A88,Listados!$A$3:$D$1252,2,FALSE),"")</f>
        <v/>
      </c>
      <c r="F88" s="26" t="str">
        <f>IF(NOT(ISBLANK(A88)),VLOOKUP(A88,Listados!$A$3:$D$1252,4,FALSE),"")</f>
        <v/>
      </c>
      <c r="G88" s="5" t="str">
        <f t="shared" si="4"/>
        <v/>
      </c>
      <c r="H88" s="8">
        <f t="shared" si="5"/>
        <v>0</v>
      </c>
      <c r="I88" s="4" t="str">
        <f t="shared" si="6"/>
        <v/>
      </c>
    </row>
    <row r="89" spans="1:9" x14ac:dyDescent="0.2">
      <c r="A89" s="25"/>
      <c r="B89" s="25"/>
      <c r="C89" s="25"/>
      <c r="D89" s="25"/>
      <c r="E89" s="26" t="str">
        <f>IF(NOT(ISBLANK(A89)),VLOOKUP(A89,Listados!$A$3:$D$1252,2,FALSE),"")</f>
        <v/>
      </c>
      <c r="F89" s="26" t="str">
        <f>IF(NOT(ISBLANK(A89)),VLOOKUP(A89,Listados!$A$3:$D$1252,4,FALSE),"")</f>
        <v/>
      </c>
      <c r="G89" s="5" t="str">
        <f t="shared" si="4"/>
        <v/>
      </c>
      <c r="H89" s="8">
        <f t="shared" si="5"/>
        <v>0</v>
      </c>
      <c r="I89" s="4" t="str">
        <f t="shared" si="6"/>
        <v/>
      </c>
    </row>
    <row r="90" spans="1:9" x14ac:dyDescent="0.2">
      <c r="A90" s="25"/>
      <c r="B90" s="25"/>
      <c r="C90" s="25"/>
      <c r="D90" s="25"/>
      <c r="E90" s="26" t="str">
        <f>IF(NOT(ISBLANK(A90)),VLOOKUP(A90,Listados!$A$3:$D$1252,2,FALSE),"")</f>
        <v/>
      </c>
      <c r="F90" s="26" t="str">
        <f>IF(NOT(ISBLANK(A90)),VLOOKUP(A90,Listados!$A$3:$D$1252,4,FALSE),"")</f>
        <v/>
      </c>
      <c r="G90" s="5" t="str">
        <f t="shared" si="4"/>
        <v/>
      </c>
      <c r="H90" s="8">
        <f t="shared" si="5"/>
        <v>0</v>
      </c>
      <c r="I90" s="4" t="str">
        <f t="shared" si="6"/>
        <v/>
      </c>
    </row>
    <row r="91" spans="1:9" x14ac:dyDescent="0.2">
      <c r="A91" s="25"/>
      <c r="B91" s="25"/>
      <c r="C91" s="25"/>
      <c r="D91" s="25"/>
      <c r="E91" s="26" t="str">
        <f>IF(NOT(ISBLANK(A91)),VLOOKUP(A91,Listados!$A$3:$D$1252,2,FALSE),"")</f>
        <v/>
      </c>
      <c r="F91" s="26" t="str">
        <f>IF(NOT(ISBLANK(A91)),VLOOKUP(A91,Listados!$A$3:$D$1252,4,FALSE),"")</f>
        <v/>
      </c>
      <c r="G91" s="5" t="str">
        <f t="shared" si="4"/>
        <v/>
      </c>
      <c r="H91" s="8">
        <f t="shared" si="5"/>
        <v>0</v>
      </c>
      <c r="I91" s="4" t="str">
        <f t="shared" si="6"/>
        <v/>
      </c>
    </row>
    <row r="92" spans="1:9" x14ac:dyDescent="0.2">
      <c r="A92" s="25"/>
      <c r="B92" s="25"/>
      <c r="C92" s="25"/>
      <c r="D92" s="25"/>
      <c r="E92" s="26" t="str">
        <f>IF(NOT(ISBLANK(A92)),VLOOKUP(A92,Listados!$A$3:$D$1252,2,FALSE),"")</f>
        <v/>
      </c>
      <c r="F92" s="26" t="str">
        <f>IF(NOT(ISBLANK(A92)),VLOOKUP(A92,Listados!$A$3:$D$1252,4,FALSE),"")</f>
        <v/>
      </c>
      <c r="G92" s="5" t="str">
        <f t="shared" si="4"/>
        <v/>
      </c>
      <c r="H92" s="8">
        <f t="shared" si="5"/>
        <v>0</v>
      </c>
      <c r="I92" s="4" t="str">
        <f t="shared" si="6"/>
        <v/>
      </c>
    </row>
    <row r="93" spans="1:9" x14ac:dyDescent="0.2">
      <c r="A93" s="25"/>
      <c r="B93" s="25"/>
      <c r="C93" s="25"/>
      <c r="D93" s="25"/>
      <c r="E93" s="26" t="str">
        <f>IF(NOT(ISBLANK(A93)),VLOOKUP(A93,Listados!$A$3:$D$1252,2,FALSE),"")</f>
        <v/>
      </c>
      <c r="F93" s="26" t="str">
        <f>IF(NOT(ISBLANK(A93)),VLOOKUP(A93,Listados!$A$3:$D$1252,4,FALSE),"")</f>
        <v/>
      </c>
      <c r="G93" s="5" t="str">
        <f t="shared" si="4"/>
        <v/>
      </c>
      <c r="H93" s="8">
        <f t="shared" si="5"/>
        <v>0</v>
      </c>
      <c r="I93" s="4" t="str">
        <f t="shared" si="6"/>
        <v/>
      </c>
    </row>
    <row r="94" spans="1:9" x14ac:dyDescent="0.2">
      <c r="A94" s="25"/>
      <c r="B94" s="25"/>
      <c r="C94" s="25"/>
      <c r="D94" s="25"/>
      <c r="E94" s="26" t="str">
        <f>IF(NOT(ISBLANK(A94)),VLOOKUP(A94,Listados!$A$3:$D$1252,2,FALSE),"")</f>
        <v/>
      </c>
      <c r="F94" s="26" t="str">
        <f>IF(NOT(ISBLANK(A94)),VLOOKUP(A94,Listados!$A$3:$D$1252,4,FALSE),"")</f>
        <v/>
      </c>
      <c r="G94" s="5" t="str">
        <f t="shared" si="4"/>
        <v/>
      </c>
      <c r="H94" s="8">
        <f t="shared" si="5"/>
        <v>0</v>
      </c>
      <c r="I94" s="4" t="str">
        <f t="shared" si="6"/>
        <v/>
      </c>
    </row>
    <row r="95" spans="1:9" x14ac:dyDescent="0.2">
      <c r="A95" s="25"/>
      <c r="B95" s="25"/>
      <c r="C95" s="25"/>
      <c r="D95" s="25"/>
      <c r="E95" s="26" t="str">
        <f>IF(NOT(ISBLANK(A95)),VLOOKUP(A95,Listados!$A$3:$D$1252,2,FALSE),"")</f>
        <v/>
      </c>
      <c r="F95" s="26" t="str">
        <f>IF(NOT(ISBLANK(A95)),VLOOKUP(A95,Listados!$A$3:$D$1252,4,FALSE),"")</f>
        <v/>
      </c>
      <c r="G95" s="5" t="str">
        <f t="shared" si="4"/>
        <v/>
      </c>
      <c r="H95" s="8">
        <f t="shared" si="5"/>
        <v>0</v>
      </c>
      <c r="I95" s="4" t="str">
        <f t="shared" si="6"/>
        <v/>
      </c>
    </row>
    <row r="96" spans="1:9" x14ac:dyDescent="0.2">
      <c r="A96" s="25"/>
      <c r="B96" s="25"/>
      <c r="C96" s="25"/>
      <c r="D96" s="25"/>
      <c r="E96" s="26" t="str">
        <f>IF(NOT(ISBLANK(A96)),VLOOKUP(A96,Listados!$A$3:$D$1252,2,FALSE),"")</f>
        <v/>
      </c>
      <c r="F96" s="26" t="str">
        <f>IF(NOT(ISBLANK(A96)),VLOOKUP(A96,Listados!$A$3:$D$1252,4,FALSE),"")</f>
        <v/>
      </c>
      <c r="G96" s="5" t="str">
        <f t="shared" si="4"/>
        <v/>
      </c>
      <c r="H96" s="8">
        <f t="shared" si="5"/>
        <v>0</v>
      </c>
      <c r="I96" s="4" t="str">
        <f t="shared" si="6"/>
        <v/>
      </c>
    </row>
    <row r="97" spans="1:9" x14ac:dyDescent="0.2">
      <c r="A97" s="25"/>
      <c r="B97" s="25"/>
      <c r="C97" s="25"/>
      <c r="D97" s="25"/>
      <c r="E97" s="26" t="str">
        <f>IF(NOT(ISBLANK(A97)),VLOOKUP(A97,Listados!$A$3:$D$1252,2,FALSE),"")</f>
        <v/>
      </c>
      <c r="F97" s="26" t="str">
        <f>IF(NOT(ISBLANK(A97)),VLOOKUP(A97,Listados!$A$3:$D$1252,4,FALSE),"")</f>
        <v/>
      </c>
      <c r="G97" s="5" t="str">
        <f t="shared" si="4"/>
        <v/>
      </c>
      <c r="H97" s="8">
        <f t="shared" si="5"/>
        <v>0</v>
      </c>
      <c r="I97" s="4" t="str">
        <f t="shared" si="6"/>
        <v/>
      </c>
    </row>
    <row r="98" spans="1:9" x14ac:dyDescent="0.2">
      <c r="A98" s="25"/>
      <c r="B98" s="25"/>
      <c r="C98" s="25"/>
      <c r="D98" s="25"/>
      <c r="E98" s="26" t="str">
        <f>IF(NOT(ISBLANK(A98)),VLOOKUP(A98,Listados!$A$3:$D$1252,2,FALSE),"")</f>
        <v/>
      </c>
      <c r="F98" s="26" t="str">
        <f>IF(NOT(ISBLANK(A98)),VLOOKUP(A98,Listados!$A$3:$D$1252,4,FALSE),"")</f>
        <v/>
      </c>
      <c r="G98" s="5" t="str">
        <f t="shared" si="4"/>
        <v/>
      </c>
      <c r="H98" s="8">
        <f t="shared" si="5"/>
        <v>0</v>
      </c>
      <c r="I98" s="4" t="str">
        <f t="shared" si="6"/>
        <v/>
      </c>
    </row>
    <row r="99" spans="1:9" x14ac:dyDescent="0.2">
      <c r="A99" s="25"/>
      <c r="B99" s="25"/>
      <c r="C99" s="25"/>
      <c r="D99" s="25"/>
      <c r="E99" s="26" t="str">
        <f>IF(NOT(ISBLANK(A99)),VLOOKUP(A99,Listados!$A$3:$D$1252,2,FALSE),"")</f>
        <v/>
      </c>
      <c r="F99" s="26" t="str">
        <f>IF(NOT(ISBLANK(A99)),VLOOKUP(A99,Listados!$A$3:$D$1252,4,FALSE),"")</f>
        <v/>
      </c>
      <c r="G99" s="5" t="str">
        <f t="shared" si="4"/>
        <v/>
      </c>
      <c r="H99" s="8">
        <f t="shared" si="5"/>
        <v>0</v>
      </c>
      <c r="I99" s="4" t="str">
        <f t="shared" si="6"/>
        <v/>
      </c>
    </row>
    <row r="100" spans="1:9" x14ac:dyDescent="0.2">
      <c r="A100" s="25"/>
      <c r="B100" s="25"/>
      <c r="C100" s="25"/>
      <c r="D100" s="25"/>
      <c r="E100" s="26" t="str">
        <f>IF(NOT(ISBLANK(A100)),VLOOKUP(A100,Listados!$A$3:$D$1252,2,FALSE),"")</f>
        <v/>
      </c>
      <c r="F100" s="26" t="str">
        <f>IF(NOT(ISBLANK(A100)),VLOOKUP(A100,Listados!$A$3:$D$1252,4,FALSE),"")</f>
        <v/>
      </c>
      <c r="G100" s="5" t="str">
        <f t="shared" si="4"/>
        <v/>
      </c>
      <c r="H100" s="8">
        <f t="shared" si="5"/>
        <v>0</v>
      </c>
      <c r="I100" s="4" t="str">
        <f t="shared" si="6"/>
        <v/>
      </c>
    </row>
    <row r="101" spans="1:9" x14ac:dyDescent="0.2">
      <c r="A101" s="25"/>
      <c r="B101" s="25"/>
      <c r="C101" s="25"/>
      <c r="D101" s="25"/>
      <c r="E101" s="26" t="str">
        <f>IF(NOT(ISBLANK(A101)),VLOOKUP(A101,Listados!$A$3:$D$1252,2,FALSE),"")</f>
        <v/>
      </c>
      <c r="F101" s="26" t="str">
        <f>IF(NOT(ISBLANK(A101)),VLOOKUP(A101,Listados!$A$3:$D$1252,4,FALSE),"")</f>
        <v/>
      </c>
      <c r="G101" s="5" t="str">
        <f t="shared" si="4"/>
        <v/>
      </c>
      <c r="H101" s="8">
        <f t="shared" si="5"/>
        <v>0</v>
      </c>
      <c r="I101" s="4" t="str">
        <f t="shared" si="6"/>
        <v/>
      </c>
    </row>
    <row r="102" spans="1:9" x14ac:dyDescent="0.2">
      <c r="A102" s="25"/>
      <c r="B102" s="25"/>
      <c r="C102" s="25"/>
      <c r="D102" s="25"/>
      <c r="E102" s="26" t="str">
        <f>IF(NOT(ISBLANK(A102)),VLOOKUP(A102,Listados!$A$3:$D$1252,2,FALSE),"")</f>
        <v/>
      </c>
      <c r="F102" s="26" t="str">
        <f>IF(NOT(ISBLANK(A102)),VLOOKUP(A102,Listados!$A$3:$D$1252,4,FALSE),"")</f>
        <v/>
      </c>
      <c r="G102" s="5" t="str">
        <f t="shared" si="4"/>
        <v/>
      </c>
      <c r="H102" s="8">
        <f t="shared" si="5"/>
        <v>0</v>
      </c>
      <c r="I102" s="4" t="str">
        <f t="shared" si="6"/>
        <v/>
      </c>
    </row>
    <row r="103" spans="1:9" x14ac:dyDescent="0.2">
      <c r="A103" s="25"/>
      <c r="B103" s="25"/>
      <c r="C103" s="25"/>
      <c r="D103" s="25"/>
      <c r="E103" s="26" t="str">
        <f>IF(NOT(ISBLANK(A103)),VLOOKUP(A103,Listados!$A$3:$D$1252,2,FALSE),"")</f>
        <v/>
      </c>
      <c r="F103" s="26" t="str">
        <f>IF(NOT(ISBLANK(A103)),VLOOKUP(A103,Listados!$A$3:$D$1252,4,FALSE),"")</f>
        <v/>
      </c>
      <c r="G103" s="5" t="str">
        <f t="shared" si="4"/>
        <v/>
      </c>
      <c r="H103" s="8">
        <f t="shared" si="5"/>
        <v>0</v>
      </c>
      <c r="I103" s="4" t="str">
        <f t="shared" si="6"/>
        <v/>
      </c>
    </row>
    <row r="104" spans="1:9" x14ac:dyDescent="0.2">
      <c r="A104" s="25"/>
      <c r="B104" s="25"/>
      <c r="C104" s="25"/>
      <c r="D104" s="25"/>
      <c r="E104" s="26" t="str">
        <f>IF(NOT(ISBLANK(A104)),VLOOKUP(A104,Listados!$A$3:$D$1252,2,FALSE),"")</f>
        <v/>
      </c>
      <c r="F104" s="26" t="str">
        <f>IF(NOT(ISBLANK(A104)),VLOOKUP(A104,Listados!$A$3:$D$1252,4,FALSE),"")</f>
        <v/>
      </c>
      <c r="G104" s="5" t="str">
        <f t="shared" si="4"/>
        <v/>
      </c>
      <c r="H104" s="8">
        <f t="shared" si="5"/>
        <v>0</v>
      </c>
      <c r="I104" s="4" t="str">
        <f t="shared" si="6"/>
        <v/>
      </c>
    </row>
    <row r="105" spans="1:9" x14ac:dyDescent="0.2">
      <c r="A105" s="25"/>
      <c r="B105" s="25"/>
      <c r="C105" s="25"/>
      <c r="D105" s="25"/>
      <c r="E105" s="26" t="str">
        <f>IF(NOT(ISBLANK(A105)),VLOOKUP(A105,Listados!$A$3:$D$1252,2,FALSE),"")</f>
        <v/>
      </c>
      <c r="F105" s="26" t="str">
        <f>IF(NOT(ISBLANK(A105)),VLOOKUP(A105,Listados!$A$3:$D$1252,4,FALSE),"")</f>
        <v/>
      </c>
      <c r="G105" s="5" t="str">
        <f t="shared" si="4"/>
        <v/>
      </c>
      <c r="H105" s="8">
        <f t="shared" si="5"/>
        <v>0</v>
      </c>
      <c r="I105" s="4" t="str">
        <f t="shared" si="6"/>
        <v/>
      </c>
    </row>
    <row r="106" spans="1:9" x14ac:dyDescent="0.2">
      <c r="A106" s="25"/>
      <c r="B106" s="25"/>
      <c r="C106" s="25"/>
      <c r="D106" s="25"/>
      <c r="E106" s="26" t="str">
        <f>IF(NOT(ISBLANK(A106)),VLOOKUP(A106,Listados!$A$3:$D$1252,2,FALSE),"")</f>
        <v/>
      </c>
      <c r="F106" s="26" t="str">
        <f>IF(NOT(ISBLANK(A106)),VLOOKUP(A106,Listados!$A$3:$D$1252,4,FALSE),"")</f>
        <v/>
      </c>
      <c r="G106" s="5" t="str">
        <f t="shared" si="4"/>
        <v/>
      </c>
      <c r="H106" s="8">
        <f t="shared" si="5"/>
        <v>0</v>
      </c>
      <c r="I106" s="4" t="str">
        <f t="shared" si="6"/>
        <v/>
      </c>
    </row>
    <row r="107" spans="1:9" x14ac:dyDescent="0.2">
      <c r="A107" s="25"/>
      <c r="B107" s="25"/>
      <c r="C107" s="25"/>
      <c r="D107" s="25"/>
      <c r="E107" s="26" t="str">
        <f>IF(NOT(ISBLANK(A107)),VLOOKUP(A107,Listados!$A$3:$D$1252,2,FALSE),"")</f>
        <v/>
      </c>
      <c r="F107" s="26" t="str">
        <f>IF(NOT(ISBLANK(A107)),VLOOKUP(A107,Listados!$A$3:$D$1252,4,FALSE),"")</f>
        <v/>
      </c>
      <c r="G107" s="5" t="str">
        <f t="shared" si="4"/>
        <v/>
      </c>
      <c r="H107" s="8">
        <f t="shared" si="5"/>
        <v>0</v>
      </c>
      <c r="I107" s="4" t="str">
        <f t="shared" si="6"/>
        <v/>
      </c>
    </row>
    <row r="108" spans="1:9" x14ac:dyDescent="0.2">
      <c r="A108" s="25"/>
      <c r="B108" s="25"/>
      <c r="C108" s="25"/>
      <c r="D108" s="25"/>
      <c r="E108" s="26" t="str">
        <f>IF(NOT(ISBLANK(A108)),VLOOKUP(A108,Listados!$A$3:$D$1252,2,FALSE),"")</f>
        <v/>
      </c>
      <c r="F108" s="26" t="str">
        <f>IF(NOT(ISBLANK(A108)),VLOOKUP(A108,Listados!$A$3:$D$1252,4,FALSE),"")</f>
        <v/>
      </c>
      <c r="G108" s="5" t="str">
        <f t="shared" si="4"/>
        <v/>
      </c>
      <c r="H108" s="8">
        <f t="shared" si="5"/>
        <v>0</v>
      </c>
      <c r="I108" s="4" t="str">
        <f t="shared" si="6"/>
        <v/>
      </c>
    </row>
    <row r="109" spans="1:9" x14ac:dyDescent="0.2">
      <c r="A109" s="25"/>
      <c r="B109" s="25"/>
      <c r="C109" s="25"/>
      <c r="D109" s="25"/>
      <c r="E109" s="26" t="str">
        <f>IF(NOT(ISBLANK(A109)),VLOOKUP(A109,Listados!$A$3:$D$1252,2,FALSE),"")</f>
        <v/>
      </c>
      <c r="F109" s="26" t="str">
        <f>IF(NOT(ISBLANK(A109)),VLOOKUP(A109,Listados!$A$3:$D$1252,4,FALSE),"")</f>
        <v/>
      </c>
      <c r="G109" s="5" t="str">
        <f t="shared" si="4"/>
        <v/>
      </c>
      <c r="H109" s="8">
        <f t="shared" si="5"/>
        <v>0</v>
      </c>
      <c r="I109" s="4" t="str">
        <f t="shared" si="6"/>
        <v/>
      </c>
    </row>
    <row r="110" spans="1:9" x14ac:dyDescent="0.2">
      <c r="A110" s="25"/>
      <c r="B110" s="25"/>
      <c r="C110" s="25"/>
      <c r="D110" s="25"/>
      <c r="E110" s="26" t="str">
        <f>IF(NOT(ISBLANK(A110)),VLOOKUP(A110,Listados!$A$3:$D$1252,2,FALSE),"")</f>
        <v/>
      </c>
      <c r="F110" s="26" t="str">
        <f>IF(NOT(ISBLANK(A110)),VLOOKUP(A110,Listados!$A$3:$D$1252,4,FALSE),"")</f>
        <v/>
      </c>
      <c r="G110" s="5" t="str">
        <f t="shared" si="4"/>
        <v/>
      </c>
      <c r="H110" s="8">
        <f t="shared" si="5"/>
        <v>0</v>
      </c>
      <c r="I110" s="4" t="str">
        <f t="shared" si="6"/>
        <v/>
      </c>
    </row>
    <row r="111" spans="1:9" x14ac:dyDescent="0.2">
      <c r="A111" s="25"/>
      <c r="B111" s="25"/>
      <c r="C111" s="25"/>
      <c r="D111" s="25"/>
      <c r="E111" s="26" t="str">
        <f>IF(NOT(ISBLANK(A111)),VLOOKUP(A111,Listados!$A$3:$D$1252,2,FALSE),"")</f>
        <v/>
      </c>
      <c r="F111" s="26" t="str">
        <f>IF(NOT(ISBLANK(A111)),VLOOKUP(A111,Listados!$A$3:$D$1252,4,FALSE),"")</f>
        <v/>
      </c>
      <c r="G111" s="5" t="str">
        <f t="shared" si="4"/>
        <v/>
      </c>
      <c r="H111" s="8">
        <f t="shared" si="5"/>
        <v>0</v>
      </c>
      <c r="I111" s="4" t="str">
        <f t="shared" si="6"/>
        <v/>
      </c>
    </row>
    <row r="112" spans="1:9" x14ac:dyDescent="0.2">
      <c r="A112" s="25"/>
      <c r="B112" s="25"/>
      <c r="C112" s="25"/>
      <c r="D112" s="25"/>
      <c r="E112" s="26" t="str">
        <f>IF(NOT(ISBLANK(A112)),VLOOKUP(A112,Listados!$A$3:$D$1252,2,FALSE),"")</f>
        <v/>
      </c>
      <c r="F112" s="26" t="str">
        <f>IF(NOT(ISBLANK(A112)),VLOOKUP(A112,Listados!$A$3:$D$1252,4,FALSE),"")</f>
        <v/>
      </c>
      <c r="G112" s="5" t="str">
        <f t="shared" si="4"/>
        <v/>
      </c>
      <c r="H112" s="8">
        <f t="shared" si="5"/>
        <v>0</v>
      </c>
      <c r="I112" s="4" t="str">
        <f t="shared" si="6"/>
        <v/>
      </c>
    </row>
    <row r="113" spans="1:9" x14ac:dyDescent="0.2">
      <c r="A113" s="25"/>
      <c r="B113" s="25"/>
      <c r="C113" s="25"/>
      <c r="D113" s="25"/>
      <c r="E113" s="26" t="str">
        <f>IF(NOT(ISBLANK(A113)),VLOOKUP(A113,Listados!$A$3:$D$1252,2,FALSE),"")</f>
        <v/>
      </c>
      <c r="F113" s="26" t="str">
        <f>IF(NOT(ISBLANK(A113)),VLOOKUP(A113,Listados!$A$3:$D$1252,4,FALSE),"")</f>
        <v/>
      </c>
      <c r="G113" s="5" t="str">
        <f t="shared" si="4"/>
        <v/>
      </c>
      <c r="H113" s="8">
        <f t="shared" si="5"/>
        <v>0</v>
      </c>
      <c r="I113" s="4" t="str">
        <f t="shared" si="6"/>
        <v/>
      </c>
    </row>
    <row r="114" spans="1:9" x14ac:dyDescent="0.2">
      <c r="A114" s="25"/>
      <c r="B114" s="25"/>
      <c r="C114" s="25"/>
      <c r="D114" s="25"/>
      <c r="E114" s="26" t="str">
        <f>IF(NOT(ISBLANK(A114)),VLOOKUP(A114,Listados!$A$3:$D$1252,2,FALSE),"")</f>
        <v/>
      </c>
      <c r="F114" s="26" t="str">
        <f>IF(NOT(ISBLANK(A114)),VLOOKUP(A114,Listados!$A$3:$D$1252,4,FALSE),"")</f>
        <v/>
      </c>
      <c r="G114" s="5" t="str">
        <f t="shared" si="4"/>
        <v/>
      </c>
      <c r="H114" s="8">
        <f t="shared" si="5"/>
        <v>0</v>
      </c>
      <c r="I114" s="4" t="str">
        <f t="shared" si="6"/>
        <v/>
      </c>
    </row>
    <row r="115" spans="1:9" x14ac:dyDescent="0.2">
      <c r="A115" s="25"/>
      <c r="B115" s="25"/>
      <c r="C115" s="25"/>
      <c r="D115" s="25"/>
      <c r="E115" s="26" t="str">
        <f>IF(NOT(ISBLANK(A115)),VLOOKUP(A115,Listados!$A$3:$D$1252,2,FALSE),"")</f>
        <v/>
      </c>
      <c r="F115" s="26" t="str">
        <f>IF(NOT(ISBLANK(A115)),VLOOKUP(A115,Listados!$A$3:$D$1252,4,FALSE),"")</f>
        <v/>
      </c>
      <c r="G115" s="5" t="str">
        <f t="shared" si="4"/>
        <v/>
      </c>
      <c r="H115" s="8">
        <f t="shared" si="5"/>
        <v>0</v>
      </c>
      <c r="I115" s="4" t="str">
        <f t="shared" si="6"/>
        <v/>
      </c>
    </row>
    <row r="116" spans="1:9" x14ac:dyDescent="0.2">
      <c r="A116" s="25"/>
      <c r="B116" s="25"/>
      <c r="C116" s="25"/>
      <c r="D116" s="25"/>
      <c r="E116" s="26" t="str">
        <f>IF(NOT(ISBLANK(A116)),VLOOKUP(A116,Listados!$A$3:$D$1252,2,FALSE),"")</f>
        <v/>
      </c>
      <c r="F116" s="26" t="str">
        <f>IF(NOT(ISBLANK(A116)),VLOOKUP(A116,Listados!$A$3:$D$1252,4,FALSE),"")</f>
        <v/>
      </c>
      <c r="G116" s="5" t="str">
        <f t="shared" si="4"/>
        <v/>
      </c>
      <c r="H116" s="8">
        <f t="shared" si="5"/>
        <v>0</v>
      </c>
      <c r="I116" s="4" t="str">
        <f t="shared" si="6"/>
        <v/>
      </c>
    </row>
    <row r="117" spans="1:9" x14ac:dyDescent="0.2">
      <c r="A117" s="25"/>
      <c r="B117" s="25"/>
      <c r="C117" s="25"/>
      <c r="D117" s="25"/>
      <c r="E117" s="26" t="str">
        <f>IF(NOT(ISBLANK(A117)),VLOOKUP(A117,Listados!$A$3:$D$1252,2,FALSE),"")</f>
        <v/>
      </c>
      <c r="F117" s="26" t="str">
        <f>IF(NOT(ISBLANK(A117)),VLOOKUP(A117,Listados!$A$3:$D$1252,4,FALSE),"")</f>
        <v/>
      </c>
      <c r="G117" s="5" t="str">
        <f t="shared" si="4"/>
        <v/>
      </c>
      <c r="H117" s="8">
        <f t="shared" si="5"/>
        <v>0</v>
      </c>
      <c r="I117" s="4" t="str">
        <f t="shared" si="6"/>
        <v/>
      </c>
    </row>
    <row r="118" spans="1:9" x14ac:dyDescent="0.2">
      <c r="A118" s="25"/>
      <c r="B118" s="25"/>
      <c r="C118" s="25"/>
      <c r="D118" s="25"/>
      <c r="E118" s="26" t="str">
        <f>IF(NOT(ISBLANK(A118)),VLOOKUP(A118,Listados!$A$3:$D$1252,2,FALSE),"")</f>
        <v/>
      </c>
      <c r="F118" s="26" t="str">
        <f>IF(NOT(ISBLANK(A118)),VLOOKUP(A118,Listados!$A$3:$D$1252,4,FALSE),"")</f>
        <v/>
      </c>
      <c r="G118" s="5" t="str">
        <f t="shared" si="4"/>
        <v/>
      </c>
      <c r="H118" s="8">
        <f t="shared" si="5"/>
        <v>0</v>
      </c>
      <c r="I118" s="4" t="str">
        <f t="shared" si="6"/>
        <v/>
      </c>
    </row>
    <row r="119" spans="1:9" x14ac:dyDescent="0.2">
      <c r="A119" s="25"/>
      <c r="B119" s="25"/>
      <c r="C119" s="25"/>
      <c r="D119" s="25"/>
      <c r="E119" s="26" t="str">
        <f>IF(NOT(ISBLANK(A119)),VLOOKUP(A119,Listados!$A$3:$D$1252,2,FALSE),"")</f>
        <v/>
      </c>
      <c r="F119" s="26" t="str">
        <f>IF(NOT(ISBLANK(A119)),VLOOKUP(A119,Listados!$A$3:$D$1252,4,FALSE),"")</f>
        <v/>
      </c>
      <c r="G119" s="5" t="str">
        <f t="shared" si="4"/>
        <v/>
      </c>
      <c r="H119" s="8">
        <f t="shared" si="5"/>
        <v>0</v>
      </c>
      <c r="I119" s="4" t="str">
        <f t="shared" si="6"/>
        <v/>
      </c>
    </row>
    <row r="120" spans="1:9" x14ac:dyDescent="0.2">
      <c r="A120" s="25"/>
      <c r="B120" s="25"/>
      <c r="C120" s="25"/>
      <c r="D120" s="25"/>
      <c r="E120" s="26" t="str">
        <f>IF(NOT(ISBLANK(A120)),VLOOKUP(A120,Listados!$A$3:$D$1252,2,FALSE),"")</f>
        <v/>
      </c>
      <c r="F120" s="26" t="str">
        <f>IF(NOT(ISBLANK(A120)),VLOOKUP(A120,Listados!$A$3:$D$1252,4,FALSE),"")</f>
        <v/>
      </c>
      <c r="G120" s="5" t="str">
        <f t="shared" si="4"/>
        <v/>
      </c>
      <c r="H120" s="8">
        <f t="shared" si="5"/>
        <v>0</v>
      </c>
      <c r="I120" s="4" t="str">
        <f t="shared" si="6"/>
        <v/>
      </c>
    </row>
    <row r="121" spans="1:9" x14ac:dyDescent="0.2">
      <c r="A121" s="25"/>
      <c r="B121" s="25"/>
      <c r="C121" s="25"/>
      <c r="D121" s="25"/>
      <c r="E121" s="26" t="str">
        <f>IF(NOT(ISBLANK(A121)),VLOOKUP(A121,Listados!$A$3:$D$1252,2,FALSE),"")</f>
        <v/>
      </c>
      <c r="F121" s="26" t="str">
        <f>IF(NOT(ISBLANK(A121)),VLOOKUP(A121,Listados!$A$3:$D$1252,4,FALSE),"")</f>
        <v/>
      </c>
      <c r="G121" s="5" t="str">
        <f t="shared" si="4"/>
        <v/>
      </c>
      <c r="H121" s="8">
        <f t="shared" si="5"/>
        <v>0</v>
      </c>
      <c r="I121" s="4" t="str">
        <f t="shared" si="6"/>
        <v/>
      </c>
    </row>
    <row r="122" spans="1:9" x14ac:dyDescent="0.2">
      <c r="A122" s="25"/>
      <c r="B122" s="25"/>
      <c r="C122" s="25"/>
      <c r="D122" s="25"/>
      <c r="E122" s="26" t="str">
        <f>IF(NOT(ISBLANK(A122)),VLOOKUP(A122,Listados!$A$3:$D$1252,2,FALSE),"")</f>
        <v/>
      </c>
      <c r="F122" s="26" t="str">
        <f>IF(NOT(ISBLANK(A122)),VLOOKUP(A122,Listados!$A$3:$D$1252,4,FALSE),"")</f>
        <v/>
      </c>
      <c r="G122" s="5" t="str">
        <f t="shared" si="4"/>
        <v/>
      </c>
      <c r="H122" s="8">
        <f t="shared" si="5"/>
        <v>0</v>
      </c>
      <c r="I122" s="4" t="str">
        <f t="shared" si="6"/>
        <v/>
      </c>
    </row>
    <row r="123" spans="1:9" x14ac:dyDescent="0.2">
      <c r="A123" s="25"/>
      <c r="B123" s="25"/>
      <c r="C123" s="25"/>
      <c r="D123" s="25"/>
      <c r="E123" s="26" t="str">
        <f>IF(NOT(ISBLANK(A123)),VLOOKUP(A123,Listados!$A$3:$D$1252,2,FALSE),"")</f>
        <v/>
      </c>
      <c r="F123" s="26" t="str">
        <f>IF(NOT(ISBLANK(A123)),VLOOKUP(A123,Listados!$A$3:$D$1252,4,FALSE),"")</f>
        <v/>
      </c>
      <c r="G123" s="5" t="str">
        <f t="shared" si="4"/>
        <v/>
      </c>
      <c r="H123" s="8">
        <f t="shared" si="5"/>
        <v>0</v>
      </c>
      <c r="I123" s="4" t="str">
        <f t="shared" si="6"/>
        <v/>
      </c>
    </row>
    <row r="124" spans="1:9" x14ac:dyDescent="0.2">
      <c r="A124" s="25"/>
      <c r="B124" s="25"/>
      <c r="C124" s="25"/>
      <c r="D124" s="25"/>
      <c r="E124" s="26" t="str">
        <f>IF(NOT(ISBLANK(A124)),VLOOKUP(A124,Listados!$A$3:$D$1252,2,FALSE),"")</f>
        <v/>
      </c>
      <c r="F124" s="26" t="str">
        <f>IF(NOT(ISBLANK(A124)),VLOOKUP(A124,Listados!$A$3:$D$1252,4,FALSE),"")</f>
        <v/>
      </c>
      <c r="G124" s="5" t="str">
        <f t="shared" si="4"/>
        <v/>
      </c>
      <c r="H124" s="8">
        <f t="shared" si="5"/>
        <v>0</v>
      </c>
      <c r="I124" s="4" t="str">
        <f t="shared" si="6"/>
        <v/>
      </c>
    </row>
    <row r="125" spans="1:9" x14ac:dyDescent="0.2">
      <c r="A125" s="25"/>
      <c r="B125" s="25"/>
      <c r="C125" s="25"/>
      <c r="D125" s="25"/>
      <c r="E125" s="26" t="str">
        <f>IF(NOT(ISBLANK(A125)),VLOOKUP(A125,Listados!$A$3:$D$1252,2,FALSE),"")</f>
        <v/>
      </c>
      <c r="F125" s="26" t="str">
        <f>IF(NOT(ISBLANK(A125)),VLOOKUP(A125,Listados!$A$3:$D$1252,4,FALSE),"")</f>
        <v/>
      </c>
      <c r="G125" s="5" t="str">
        <f t="shared" si="4"/>
        <v/>
      </c>
      <c r="H125" s="8">
        <f t="shared" si="5"/>
        <v>0</v>
      </c>
      <c r="I125" s="4" t="str">
        <f t="shared" si="6"/>
        <v/>
      </c>
    </row>
    <row r="126" spans="1:9" x14ac:dyDescent="0.2">
      <c r="A126" s="25"/>
      <c r="B126" s="25"/>
      <c r="C126" s="25"/>
      <c r="D126" s="25"/>
      <c r="E126" s="26" t="str">
        <f>IF(NOT(ISBLANK(A126)),VLOOKUP(A126,Listados!$A$3:$D$1252,2,FALSE),"")</f>
        <v/>
      </c>
      <c r="F126" s="26" t="str">
        <f>IF(NOT(ISBLANK(A126)),VLOOKUP(A126,Listados!$A$3:$D$1252,4,FALSE),"")</f>
        <v/>
      </c>
      <c r="G126" s="5" t="str">
        <f t="shared" si="4"/>
        <v/>
      </c>
      <c r="H126" s="8">
        <f t="shared" si="5"/>
        <v>0</v>
      </c>
      <c r="I126" s="4" t="str">
        <f t="shared" si="6"/>
        <v/>
      </c>
    </row>
    <row r="127" spans="1:9" x14ac:dyDescent="0.2">
      <c r="A127" s="25"/>
      <c r="B127" s="25"/>
      <c r="C127" s="25"/>
      <c r="D127" s="25"/>
      <c r="E127" s="26" t="str">
        <f>IF(NOT(ISBLANK(A127)),VLOOKUP(A127,Listados!$A$3:$D$1252,2,FALSE),"")</f>
        <v/>
      </c>
      <c r="F127" s="26" t="str">
        <f>IF(NOT(ISBLANK(A127)),VLOOKUP(A127,Listados!$A$3:$D$1252,4,FALSE),"")</f>
        <v/>
      </c>
      <c r="G127" s="5" t="str">
        <f t="shared" si="4"/>
        <v/>
      </c>
      <c r="H127" s="8">
        <f t="shared" si="5"/>
        <v>0</v>
      </c>
      <c r="I127" s="4" t="str">
        <f t="shared" si="6"/>
        <v/>
      </c>
    </row>
    <row r="128" spans="1:9" x14ac:dyDescent="0.2">
      <c r="A128" s="25"/>
      <c r="B128" s="25"/>
      <c r="C128" s="25"/>
      <c r="D128" s="25"/>
      <c r="E128" s="26" t="str">
        <f>IF(NOT(ISBLANK(A128)),VLOOKUP(A128,Listados!$A$3:$D$1252,2,FALSE),"")</f>
        <v/>
      </c>
      <c r="F128" s="26" t="str">
        <f>IF(NOT(ISBLANK(A128)),VLOOKUP(A128,Listados!$A$3:$D$1252,4,FALSE),"")</f>
        <v/>
      </c>
      <c r="G128" s="5" t="str">
        <f t="shared" si="4"/>
        <v/>
      </c>
      <c r="H128" s="8">
        <f t="shared" si="5"/>
        <v>0</v>
      </c>
      <c r="I128" s="4" t="str">
        <f t="shared" si="6"/>
        <v/>
      </c>
    </row>
    <row r="129" spans="1:9" x14ac:dyDescent="0.2">
      <c r="A129" s="25"/>
      <c r="B129" s="25"/>
      <c r="C129" s="25"/>
      <c r="D129" s="25"/>
      <c r="E129" s="26" t="str">
        <f>IF(NOT(ISBLANK(A129)),VLOOKUP(A129,Listados!$A$3:$D$1252,2,FALSE),"")</f>
        <v/>
      </c>
      <c r="F129" s="26" t="str">
        <f>IF(NOT(ISBLANK(A129)),VLOOKUP(A129,Listados!$A$3:$D$1252,4,FALSE),"")</f>
        <v/>
      </c>
      <c r="G129" s="5" t="str">
        <f t="shared" si="4"/>
        <v/>
      </c>
      <c r="H129" s="8">
        <f t="shared" si="5"/>
        <v>0</v>
      </c>
      <c r="I129" s="4" t="str">
        <f t="shared" si="6"/>
        <v/>
      </c>
    </row>
    <row r="130" spans="1:9" x14ac:dyDescent="0.2">
      <c r="A130" s="25"/>
      <c r="B130" s="25"/>
      <c r="C130" s="25"/>
      <c r="D130" s="25"/>
      <c r="E130" s="26" t="str">
        <f>IF(NOT(ISBLANK(A130)),VLOOKUP(A130,Listados!$A$3:$D$1252,2,FALSE),"")</f>
        <v/>
      </c>
      <c r="F130" s="26" t="str">
        <f>IF(NOT(ISBLANK(A130)),VLOOKUP(A130,Listados!$A$3:$D$1252,4,FALSE),"")</f>
        <v/>
      </c>
      <c r="G130" s="5" t="str">
        <f t="shared" si="4"/>
        <v/>
      </c>
      <c r="H130" s="8">
        <f t="shared" si="5"/>
        <v>0</v>
      </c>
      <c r="I130" s="4" t="str">
        <f t="shared" si="6"/>
        <v/>
      </c>
    </row>
    <row r="131" spans="1:9" x14ac:dyDescent="0.2">
      <c r="A131" s="25"/>
      <c r="B131" s="25"/>
      <c r="C131" s="25"/>
      <c r="D131" s="25"/>
      <c r="E131" s="26" t="str">
        <f>IF(NOT(ISBLANK(A131)),VLOOKUP(A131,Listados!$A$3:$D$1252,2,FALSE),"")</f>
        <v/>
      </c>
      <c r="F131" s="26" t="str">
        <f>IF(NOT(ISBLANK(A131)),VLOOKUP(A131,Listados!$A$3:$D$1252,4,FALSE),"")</f>
        <v/>
      </c>
      <c r="G131" s="5" t="str">
        <f t="shared" si="4"/>
        <v/>
      </c>
      <c r="H131" s="8">
        <f t="shared" si="5"/>
        <v>0</v>
      </c>
      <c r="I131" s="4" t="str">
        <f t="shared" si="6"/>
        <v/>
      </c>
    </row>
    <row r="132" spans="1:9" x14ac:dyDescent="0.2">
      <c r="A132" s="25"/>
      <c r="B132" s="25"/>
      <c r="C132" s="25"/>
      <c r="D132" s="25"/>
      <c r="E132" s="26" t="str">
        <f>IF(NOT(ISBLANK(A132)),VLOOKUP(A132,Listados!$A$3:$D$1252,2,FALSE),"")</f>
        <v/>
      </c>
      <c r="F132" s="26" t="str">
        <f>IF(NOT(ISBLANK(A132)),VLOOKUP(A132,Listados!$A$3:$D$1252,4,FALSE),"")</f>
        <v/>
      </c>
      <c r="G132" s="5" t="str">
        <f t="shared" si="4"/>
        <v/>
      </c>
      <c r="H132" s="8">
        <f t="shared" si="5"/>
        <v>0</v>
      </c>
      <c r="I132" s="4" t="str">
        <f t="shared" si="6"/>
        <v/>
      </c>
    </row>
    <row r="133" spans="1:9" x14ac:dyDescent="0.2">
      <c r="A133" s="25"/>
      <c r="B133" s="25"/>
      <c r="C133" s="25"/>
      <c r="D133" s="25"/>
      <c r="E133" s="26" t="str">
        <f>IF(NOT(ISBLANK(A133)),VLOOKUP(A133,Listados!$A$3:$D$1252,2,FALSE),"")</f>
        <v/>
      </c>
      <c r="F133" s="26" t="str">
        <f>IF(NOT(ISBLANK(A133)),VLOOKUP(A133,Listados!$A$3:$D$1252,4,FALSE),"")</f>
        <v/>
      </c>
      <c r="G133" s="5" t="str">
        <f t="shared" si="4"/>
        <v/>
      </c>
      <c r="H133" s="8">
        <f t="shared" si="5"/>
        <v>0</v>
      </c>
      <c r="I133" s="4" t="str">
        <f t="shared" si="6"/>
        <v/>
      </c>
    </row>
    <row r="134" spans="1:9" x14ac:dyDescent="0.2">
      <c r="A134" s="25"/>
      <c r="B134" s="25"/>
      <c r="C134" s="25"/>
      <c r="D134" s="25"/>
      <c r="E134" s="26" t="str">
        <f>IF(NOT(ISBLANK(A134)),VLOOKUP(A134,Listados!$A$3:$D$1252,2,FALSE),"")</f>
        <v/>
      </c>
      <c r="F134" s="26" t="str">
        <f>IF(NOT(ISBLANK(A134)),VLOOKUP(A134,Listados!$A$3:$D$1252,4,FALSE),"")</f>
        <v/>
      </c>
      <c r="G134" s="5" t="str">
        <f t="shared" si="4"/>
        <v/>
      </c>
      <c r="H134" s="8">
        <f t="shared" si="5"/>
        <v>0</v>
      </c>
      <c r="I134" s="4" t="str">
        <f t="shared" si="6"/>
        <v/>
      </c>
    </row>
    <row r="135" spans="1:9" x14ac:dyDescent="0.2">
      <c r="A135" s="25"/>
      <c r="B135" s="25"/>
      <c r="C135" s="25"/>
      <c r="D135" s="25"/>
      <c r="E135" s="26" t="str">
        <f>IF(NOT(ISBLANK(A135)),VLOOKUP(A135,Listados!$A$3:$D$1252,2,FALSE),"")</f>
        <v/>
      </c>
      <c r="F135" s="26" t="str">
        <f>IF(NOT(ISBLANK(A135)),VLOOKUP(A135,Listados!$A$3:$D$1252,4,FALSE),"")</f>
        <v/>
      </c>
      <c r="G135" s="5" t="str">
        <f t="shared" si="4"/>
        <v/>
      </c>
      <c r="H135" s="8">
        <f t="shared" si="5"/>
        <v>0</v>
      </c>
      <c r="I135" s="4" t="str">
        <f t="shared" si="6"/>
        <v/>
      </c>
    </row>
    <row r="136" spans="1:9" x14ac:dyDescent="0.2">
      <c r="A136" s="25"/>
      <c r="B136" s="25"/>
      <c r="C136" s="25"/>
      <c r="D136" s="25"/>
      <c r="E136" s="26" t="str">
        <f>IF(NOT(ISBLANK(A136)),VLOOKUP(A136,Listados!$A$3:$D$1252,2,FALSE),"")</f>
        <v/>
      </c>
      <c r="F136" s="26" t="str">
        <f>IF(NOT(ISBLANK(A136)),VLOOKUP(A136,Listados!$A$3:$D$1252,4,FALSE),"")</f>
        <v/>
      </c>
      <c r="G136" s="5" t="str">
        <f t="shared" si="4"/>
        <v/>
      </c>
      <c r="H136" s="8">
        <f t="shared" si="5"/>
        <v>0</v>
      </c>
      <c r="I136" s="4" t="str">
        <f t="shared" si="6"/>
        <v/>
      </c>
    </row>
    <row r="137" spans="1:9" x14ac:dyDescent="0.2">
      <c r="A137" s="25"/>
      <c r="B137" s="25"/>
      <c r="C137" s="25"/>
      <c r="D137" s="25"/>
      <c r="E137" s="26" t="str">
        <f>IF(NOT(ISBLANK(A137)),VLOOKUP(A137,Listados!$A$3:$D$1252,2,FALSE),"")</f>
        <v/>
      </c>
      <c r="F137" s="26" t="str">
        <f>IF(NOT(ISBLANK(A137)),VLOOKUP(A137,Listados!$A$3:$D$1252,4,FALSE),"")</f>
        <v/>
      </c>
      <c r="G137" s="5" t="str">
        <f t="shared" si="4"/>
        <v/>
      </c>
      <c r="H137" s="8">
        <f t="shared" si="5"/>
        <v>0</v>
      </c>
      <c r="I137" s="4" t="str">
        <f t="shared" si="6"/>
        <v/>
      </c>
    </row>
    <row r="138" spans="1:9" x14ac:dyDescent="0.2">
      <c r="A138" s="25"/>
      <c r="B138" s="25"/>
      <c r="C138" s="25"/>
      <c r="D138" s="25"/>
      <c r="E138" s="26" t="str">
        <f>IF(NOT(ISBLANK(A138)),VLOOKUP(A138,Listados!$A$3:$D$1252,2,FALSE),"")</f>
        <v/>
      </c>
      <c r="F138" s="26" t="str">
        <f>IF(NOT(ISBLANK(A138)),VLOOKUP(A138,Listados!$A$3:$D$1252,4,FALSE),"")</f>
        <v/>
      </c>
      <c r="G138" s="5" t="str">
        <f t="shared" si="4"/>
        <v/>
      </c>
      <c r="H138" s="8">
        <f t="shared" si="5"/>
        <v>0</v>
      </c>
      <c r="I138" s="4" t="str">
        <f t="shared" si="6"/>
        <v/>
      </c>
    </row>
    <row r="139" spans="1:9" x14ac:dyDescent="0.2">
      <c r="A139" s="25"/>
      <c r="B139" s="25"/>
      <c r="C139" s="25"/>
      <c r="D139" s="25"/>
      <c r="E139" s="26" t="str">
        <f>IF(NOT(ISBLANK(A139)),VLOOKUP(A139,Listados!$A$3:$D$1252,2,FALSE),"")</f>
        <v/>
      </c>
      <c r="F139" s="26" t="str">
        <f>IF(NOT(ISBLANK(A139)),VLOOKUP(A139,Listados!$A$3:$D$1252,4,FALSE),"")</f>
        <v/>
      </c>
      <c r="G139" s="5" t="str">
        <f t="shared" si="4"/>
        <v/>
      </c>
      <c r="H139" s="8">
        <f t="shared" si="5"/>
        <v>0</v>
      </c>
      <c r="I139" s="4" t="str">
        <f t="shared" si="6"/>
        <v/>
      </c>
    </row>
    <row r="140" spans="1:9" x14ac:dyDescent="0.2">
      <c r="A140" s="25"/>
      <c r="B140" s="25"/>
      <c r="C140" s="25"/>
      <c r="D140" s="25"/>
      <c r="E140" s="26" t="str">
        <f>IF(NOT(ISBLANK(A140)),VLOOKUP(A140,Listados!$A$3:$D$1252,2,FALSE),"")</f>
        <v/>
      </c>
      <c r="F140" s="26" t="str">
        <f>IF(NOT(ISBLANK(A140)),VLOOKUP(A140,Listados!$A$3:$D$1252,4,FALSE),"")</f>
        <v/>
      </c>
      <c r="G140" s="5" t="str">
        <f t="shared" si="4"/>
        <v/>
      </c>
      <c r="H140" s="8">
        <f t="shared" si="5"/>
        <v>0</v>
      </c>
      <c r="I140" s="4" t="str">
        <f t="shared" si="6"/>
        <v/>
      </c>
    </row>
    <row r="141" spans="1:9" x14ac:dyDescent="0.2">
      <c r="A141" s="25"/>
      <c r="B141" s="25"/>
      <c r="C141" s="25"/>
      <c r="D141" s="25"/>
      <c r="E141" s="26" t="str">
        <f>IF(NOT(ISBLANK(A141)),VLOOKUP(A141,Listados!$A$3:$D$1252,2,FALSE),"")</f>
        <v/>
      </c>
      <c r="F141" s="26" t="str">
        <f>IF(NOT(ISBLANK(A141)),VLOOKUP(A141,Listados!$A$3:$D$1252,4,FALSE),"")</f>
        <v/>
      </c>
      <c r="G141" s="5" t="str">
        <f t="shared" si="4"/>
        <v/>
      </c>
      <c r="H141" s="8">
        <f t="shared" si="5"/>
        <v>0</v>
      </c>
      <c r="I141" s="4" t="str">
        <f t="shared" si="6"/>
        <v/>
      </c>
    </row>
    <row r="142" spans="1:9" x14ac:dyDescent="0.2">
      <c r="A142" s="25"/>
      <c r="B142" s="25"/>
      <c r="C142" s="25"/>
      <c r="D142" s="25"/>
      <c r="E142" s="26" t="str">
        <f>IF(NOT(ISBLANK(A142)),VLOOKUP(A142,Listados!$A$3:$D$1252,2,FALSE),"")</f>
        <v/>
      </c>
      <c r="F142" s="26" t="str">
        <f>IF(NOT(ISBLANK(A142)),VLOOKUP(A142,Listados!$A$3:$D$1252,4,FALSE),"")</f>
        <v/>
      </c>
      <c r="G142" s="5" t="str">
        <f t="shared" si="4"/>
        <v/>
      </c>
      <c r="H142" s="8">
        <f t="shared" si="5"/>
        <v>0</v>
      </c>
      <c r="I142" s="4" t="str">
        <f t="shared" si="6"/>
        <v/>
      </c>
    </row>
    <row r="143" spans="1:9" x14ac:dyDescent="0.2">
      <c r="A143" s="25"/>
      <c r="B143" s="25"/>
      <c r="C143" s="25"/>
      <c r="D143" s="25"/>
      <c r="E143" s="26" t="str">
        <f>IF(NOT(ISBLANK(A143)),VLOOKUP(A143,Listados!$A$3:$D$1252,2,FALSE),"")</f>
        <v/>
      </c>
      <c r="F143" s="26" t="str">
        <f>IF(NOT(ISBLANK(A143)),VLOOKUP(A143,Listados!$A$3:$D$1252,4,FALSE),"")</f>
        <v/>
      </c>
      <c r="G143" s="5" t="str">
        <f t="shared" si="4"/>
        <v/>
      </c>
      <c r="H143" s="8">
        <f t="shared" si="5"/>
        <v>0</v>
      </c>
      <c r="I143" s="4" t="str">
        <f t="shared" si="6"/>
        <v/>
      </c>
    </row>
    <row r="144" spans="1:9" x14ac:dyDescent="0.2">
      <c r="A144" s="25"/>
      <c r="B144" s="25"/>
      <c r="C144" s="25"/>
      <c r="D144" s="25"/>
      <c r="E144" s="26" t="str">
        <f>IF(NOT(ISBLANK(A144)),VLOOKUP(A144,Listados!$A$3:$D$1252,2,FALSE),"")</f>
        <v/>
      </c>
      <c r="F144" s="26" t="str">
        <f>IF(NOT(ISBLANK(A144)),VLOOKUP(A144,Listados!$A$3:$D$1252,4,FALSE),"")</f>
        <v/>
      </c>
      <c r="G144" s="5" t="str">
        <f t="shared" ref="G144:G207" si="7">IF(ISERROR(E144),"El código de ciudad no es válido",IF(AND(NOT(ISNUMBER(SUM(B144:D144))),NOT(A144="")),"Escriba la muestra para esta ciudad",""))</f>
        <v/>
      </c>
      <c r="H144" s="8">
        <f t="shared" ref="H144:H207" si="8">IF(NOT(G144=""),1,0)</f>
        <v>0</v>
      </c>
      <c r="I144" s="4" t="str">
        <f t="shared" ref="I144:I207" si="9">_xlfn.CONCAT(IF(AND(NOT(A144=""),ISNUMBER(B144)),"EXEC [dbo].[IQ_InsertarMuestra_WORK] "&amp;A144&amp;", "&amp;B144&amp;", 30, "&amp;$I$8&amp;", "&amp;$I$11&amp;", "&amp;$I$10&amp;", "&amp;$I$9&amp;";",""),IF(AND(NOT(A144=""),ISNUMBER(C144)),"EXEC [dbo].[IQ_InsertarMuestra_WORK] "&amp;A144&amp;", "&amp;C144&amp;", 20, "&amp;$I$8&amp;", "&amp;$I$11&amp;", "&amp;$I$10&amp;", "&amp;$I$9&amp;";",""),IF(AND(NOT(A144=""),ISNUMBER(D144)),"EXEC [dbo].[IQ_InsertarMuestra_WORK] "&amp;A144&amp;", "&amp;D144&amp;", 10, "&amp;$I$8&amp;", "&amp;$I$11&amp;", "&amp;$I$10&amp;", "&amp;$I$9&amp;";",""))</f>
        <v/>
      </c>
    </row>
    <row r="145" spans="1:9" x14ac:dyDescent="0.2">
      <c r="A145" s="25"/>
      <c r="B145" s="25"/>
      <c r="C145" s="25"/>
      <c r="D145" s="25"/>
      <c r="E145" s="26" t="str">
        <f>IF(NOT(ISBLANK(A145)),VLOOKUP(A145,Listados!$A$3:$D$1252,2,FALSE),"")</f>
        <v/>
      </c>
      <c r="F145" s="26" t="str">
        <f>IF(NOT(ISBLANK(A145)),VLOOKUP(A145,Listados!$A$3:$D$1252,4,FALSE),"")</f>
        <v/>
      </c>
      <c r="G145" s="5" t="str">
        <f t="shared" si="7"/>
        <v/>
      </c>
      <c r="H145" s="8">
        <f t="shared" si="8"/>
        <v>0</v>
      </c>
      <c r="I145" s="4" t="str">
        <f t="shared" si="9"/>
        <v/>
      </c>
    </row>
    <row r="146" spans="1:9" x14ac:dyDescent="0.2">
      <c r="A146" s="25"/>
      <c r="B146" s="25"/>
      <c r="C146" s="25"/>
      <c r="D146" s="25"/>
      <c r="E146" s="26" t="str">
        <f>IF(NOT(ISBLANK(A146)),VLOOKUP(A146,Listados!$A$3:$D$1252,2,FALSE),"")</f>
        <v/>
      </c>
      <c r="F146" s="26" t="str">
        <f>IF(NOT(ISBLANK(A146)),VLOOKUP(A146,Listados!$A$3:$D$1252,4,FALSE),"")</f>
        <v/>
      </c>
      <c r="G146" s="5" t="str">
        <f t="shared" si="7"/>
        <v/>
      </c>
      <c r="H146" s="8">
        <f t="shared" si="8"/>
        <v>0</v>
      </c>
      <c r="I146" s="4" t="str">
        <f t="shared" si="9"/>
        <v/>
      </c>
    </row>
    <row r="147" spans="1:9" x14ac:dyDescent="0.2">
      <c r="A147" s="25"/>
      <c r="B147" s="25"/>
      <c r="C147" s="25"/>
      <c r="D147" s="25"/>
      <c r="E147" s="26" t="str">
        <f>IF(NOT(ISBLANK(A147)),VLOOKUP(A147,Listados!$A$3:$D$1252,2,FALSE),"")</f>
        <v/>
      </c>
      <c r="F147" s="26" t="str">
        <f>IF(NOT(ISBLANK(A147)),VLOOKUP(A147,Listados!$A$3:$D$1252,4,FALSE),"")</f>
        <v/>
      </c>
      <c r="G147" s="5" t="str">
        <f t="shared" si="7"/>
        <v/>
      </c>
      <c r="H147" s="8">
        <f t="shared" si="8"/>
        <v>0</v>
      </c>
      <c r="I147" s="4" t="str">
        <f t="shared" si="9"/>
        <v/>
      </c>
    </row>
    <row r="148" spans="1:9" x14ac:dyDescent="0.2">
      <c r="A148" s="25"/>
      <c r="B148" s="25"/>
      <c r="C148" s="25"/>
      <c r="D148" s="25"/>
      <c r="E148" s="26" t="str">
        <f>IF(NOT(ISBLANK(A148)),VLOOKUP(A148,Listados!$A$3:$D$1252,2,FALSE),"")</f>
        <v/>
      </c>
      <c r="F148" s="26" t="str">
        <f>IF(NOT(ISBLANK(A148)),VLOOKUP(A148,Listados!$A$3:$D$1252,4,FALSE),"")</f>
        <v/>
      </c>
      <c r="G148" s="5" t="str">
        <f t="shared" si="7"/>
        <v/>
      </c>
      <c r="H148" s="8">
        <f t="shared" si="8"/>
        <v>0</v>
      </c>
      <c r="I148" s="4" t="str">
        <f t="shared" si="9"/>
        <v/>
      </c>
    </row>
    <row r="149" spans="1:9" x14ac:dyDescent="0.2">
      <c r="A149" s="25"/>
      <c r="B149" s="25"/>
      <c r="C149" s="25"/>
      <c r="D149" s="25"/>
      <c r="E149" s="26" t="str">
        <f>IF(NOT(ISBLANK(A149)),VLOOKUP(A149,Listados!$A$3:$D$1252,2,FALSE),"")</f>
        <v/>
      </c>
      <c r="F149" s="26" t="str">
        <f>IF(NOT(ISBLANK(A149)),VLOOKUP(A149,Listados!$A$3:$D$1252,4,FALSE),"")</f>
        <v/>
      </c>
      <c r="G149" s="5" t="str">
        <f t="shared" si="7"/>
        <v/>
      </c>
      <c r="H149" s="8">
        <f t="shared" si="8"/>
        <v>0</v>
      </c>
      <c r="I149" s="4" t="str">
        <f t="shared" si="9"/>
        <v/>
      </c>
    </row>
    <row r="150" spans="1:9" x14ac:dyDescent="0.2">
      <c r="A150" s="25"/>
      <c r="B150" s="25"/>
      <c r="C150" s="25"/>
      <c r="D150" s="25"/>
      <c r="E150" s="26" t="str">
        <f>IF(NOT(ISBLANK(A150)),VLOOKUP(A150,Listados!$A$3:$D$1252,2,FALSE),"")</f>
        <v/>
      </c>
      <c r="F150" s="26" t="str">
        <f>IF(NOT(ISBLANK(A150)),VLOOKUP(A150,Listados!$A$3:$D$1252,4,FALSE),"")</f>
        <v/>
      </c>
      <c r="G150" s="5" t="str">
        <f t="shared" si="7"/>
        <v/>
      </c>
      <c r="H150" s="8">
        <f t="shared" si="8"/>
        <v>0</v>
      </c>
      <c r="I150" s="4" t="str">
        <f t="shared" si="9"/>
        <v/>
      </c>
    </row>
    <row r="151" spans="1:9" x14ac:dyDescent="0.2">
      <c r="A151" s="25"/>
      <c r="B151" s="25"/>
      <c r="C151" s="25"/>
      <c r="D151" s="25"/>
      <c r="E151" s="26" t="str">
        <f>IF(NOT(ISBLANK(A151)),VLOOKUP(A151,Listados!$A$3:$D$1252,2,FALSE),"")</f>
        <v/>
      </c>
      <c r="F151" s="26" t="str">
        <f>IF(NOT(ISBLANK(A151)),VLOOKUP(A151,Listados!$A$3:$D$1252,4,FALSE),"")</f>
        <v/>
      </c>
      <c r="G151" s="5" t="str">
        <f t="shared" si="7"/>
        <v/>
      </c>
      <c r="H151" s="8">
        <f t="shared" si="8"/>
        <v>0</v>
      </c>
      <c r="I151" s="4" t="str">
        <f t="shared" si="9"/>
        <v/>
      </c>
    </row>
    <row r="152" spans="1:9" x14ac:dyDescent="0.2">
      <c r="A152" s="25"/>
      <c r="B152" s="25"/>
      <c r="C152" s="25"/>
      <c r="D152" s="25"/>
      <c r="E152" s="26" t="str">
        <f>IF(NOT(ISBLANK(A152)),VLOOKUP(A152,Listados!$A$3:$D$1252,2,FALSE),"")</f>
        <v/>
      </c>
      <c r="F152" s="26" t="str">
        <f>IF(NOT(ISBLANK(A152)),VLOOKUP(A152,Listados!$A$3:$D$1252,4,FALSE),"")</f>
        <v/>
      </c>
      <c r="G152" s="5" t="str">
        <f t="shared" si="7"/>
        <v/>
      </c>
      <c r="H152" s="8">
        <f t="shared" si="8"/>
        <v>0</v>
      </c>
      <c r="I152" s="4" t="str">
        <f t="shared" si="9"/>
        <v/>
      </c>
    </row>
    <row r="153" spans="1:9" x14ac:dyDescent="0.2">
      <c r="A153" s="25"/>
      <c r="B153" s="25"/>
      <c r="C153" s="25"/>
      <c r="D153" s="25"/>
      <c r="E153" s="26" t="str">
        <f>IF(NOT(ISBLANK(A153)),VLOOKUP(A153,Listados!$A$3:$D$1252,2,FALSE),"")</f>
        <v/>
      </c>
      <c r="F153" s="26" t="str">
        <f>IF(NOT(ISBLANK(A153)),VLOOKUP(A153,Listados!$A$3:$D$1252,4,FALSE),"")</f>
        <v/>
      </c>
      <c r="G153" s="5" t="str">
        <f t="shared" si="7"/>
        <v/>
      </c>
      <c r="H153" s="8">
        <f t="shared" si="8"/>
        <v>0</v>
      </c>
      <c r="I153" s="4" t="str">
        <f t="shared" si="9"/>
        <v/>
      </c>
    </row>
    <row r="154" spans="1:9" x14ac:dyDescent="0.2">
      <c r="A154" s="25"/>
      <c r="B154" s="25"/>
      <c r="C154" s="25"/>
      <c r="D154" s="25"/>
      <c r="E154" s="26" t="str">
        <f>IF(NOT(ISBLANK(A154)),VLOOKUP(A154,Listados!$A$3:$D$1252,2,FALSE),"")</f>
        <v/>
      </c>
      <c r="F154" s="26" t="str">
        <f>IF(NOT(ISBLANK(A154)),VLOOKUP(A154,Listados!$A$3:$D$1252,4,FALSE),"")</f>
        <v/>
      </c>
      <c r="G154" s="5" t="str">
        <f t="shared" si="7"/>
        <v/>
      </c>
      <c r="H154" s="8">
        <f t="shared" si="8"/>
        <v>0</v>
      </c>
      <c r="I154" s="4" t="str">
        <f t="shared" si="9"/>
        <v/>
      </c>
    </row>
    <row r="155" spans="1:9" x14ac:dyDescent="0.2">
      <c r="A155" s="25"/>
      <c r="B155" s="25"/>
      <c r="C155" s="25"/>
      <c r="D155" s="25"/>
      <c r="E155" s="26" t="str">
        <f>IF(NOT(ISBLANK(A155)),VLOOKUP(A155,Listados!$A$3:$D$1252,2,FALSE),"")</f>
        <v/>
      </c>
      <c r="F155" s="26" t="str">
        <f>IF(NOT(ISBLANK(A155)),VLOOKUP(A155,Listados!$A$3:$D$1252,4,FALSE),"")</f>
        <v/>
      </c>
      <c r="G155" s="5" t="str">
        <f t="shared" si="7"/>
        <v/>
      </c>
      <c r="H155" s="8">
        <f t="shared" si="8"/>
        <v>0</v>
      </c>
      <c r="I155" s="4" t="str">
        <f t="shared" si="9"/>
        <v/>
      </c>
    </row>
    <row r="156" spans="1:9" x14ac:dyDescent="0.2">
      <c r="A156" s="25"/>
      <c r="B156" s="25"/>
      <c r="C156" s="25"/>
      <c r="D156" s="25"/>
      <c r="E156" s="26" t="str">
        <f>IF(NOT(ISBLANK(A156)),VLOOKUP(A156,Listados!$A$3:$D$1252,2,FALSE),"")</f>
        <v/>
      </c>
      <c r="F156" s="26" t="str">
        <f>IF(NOT(ISBLANK(A156)),VLOOKUP(A156,Listados!$A$3:$D$1252,4,FALSE),"")</f>
        <v/>
      </c>
      <c r="G156" s="5" t="str">
        <f t="shared" si="7"/>
        <v/>
      </c>
      <c r="H156" s="8">
        <f t="shared" si="8"/>
        <v>0</v>
      </c>
      <c r="I156" s="4" t="str">
        <f t="shared" si="9"/>
        <v/>
      </c>
    </row>
    <row r="157" spans="1:9" x14ac:dyDescent="0.2">
      <c r="A157" s="25"/>
      <c r="B157" s="25"/>
      <c r="C157" s="25"/>
      <c r="D157" s="25"/>
      <c r="E157" s="26" t="str">
        <f>IF(NOT(ISBLANK(A157)),VLOOKUP(A157,Listados!$A$3:$D$1252,2,FALSE),"")</f>
        <v/>
      </c>
      <c r="F157" s="26" t="str">
        <f>IF(NOT(ISBLANK(A157)),VLOOKUP(A157,Listados!$A$3:$D$1252,4,FALSE),"")</f>
        <v/>
      </c>
      <c r="G157" s="5" t="str">
        <f t="shared" si="7"/>
        <v/>
      </c>
      <c r="H157" s="8">
        <f t="shared" si="8"/>
        <v>0</v>
      </c>
      <c r="I157" s="4" t="str">
        <f t="shared" si="9"/>
        <v/>
      </c>
    </row>
    <row r="158" spans="1:9" x14ac:dyDescent="0.2">
      <c r="A158" s="25"/>
      <c r="B158" s="25"/>
      <c r="C158" s="25"/>
      <c r="D158" s="25"/>
      <c r="E158" s="26" t="str">
        <f>IF(NOT(ISBLANK(A158)),VLOOKUP(A158,Listados!$A$3:$D$1252,2,FALSE),"")</f>
        <v/>
      </c>
      <c r="F158" s="26" t="str">
        <f>IF(NOT(ISBLANK(A158)),VLOOKUP(A158,Listados!$A$3:$D$1252,4,FALSE),"")</f>
        <v/>
      </c>
      <c r="G158" s="5" t="str">
        <f t="shared" si="7"/>
        <v/>
      </c>
      <c r="H158" s="8">
        <f t="shared" si="8"/>
        <v>0</v>
      </c>
      <c r="I158" s="4" t="str">
        <f t="shared" si="9"/>
        <v/>
      </c>
    </row>
    <row r="159" spans="1:9" x14ac:dyDescent="0.2">
      <c r="A159" s="25"/>
      <c r="B159" s="25"/>
      <c r="C159" s="25"/>
      <c r="D159" s="25"/>
      <c r="E159" s="26" t="str">
        <f>IF(NOT(ISBLANK(A159)),VLOOKUP(A159,Listados!$A$3:$D$1252,2,FALSE),"")</f>
        <v/>
      </c>
      <c r="F159" s="26" t="str">
        <f>IF(NOT(ISBLANK(A159)),VLOOKUP(A159,Listados!$A$3:$D$1252,4,FALSE),"")</f>
        <v/>
      </c>
      <c r="G159" s="5" t="str">
        <f t="shared" si="7"/>
        <v/>
      </c>
      <c r="H159" s="8">
        <f t="shared" si="8"/>
        <v>0</v>
      </c>
      <c r="I159" s="4" t="str">
        <f t="shared" si="9"/>
        <v/>
      </c>
    </row>
    <row r="160" spans="1:9" x14ac:dyDescent="0.2">
      <c r="A160" s="25"/>
      <c r="B160" s="25"/>
      <c r="C160" s="25"/>
      <c r="D160" s="25"/>
      <c r="E160" s="26" t="str">
        <f>IF(NOT(ISBLANK(A160)),VLOOKUP(A160,Listados!$A$3:$D$1252,2,FALSE),"")</f>
        <v/>
      </c>
      <c r="F160" s="26" t="str">
        <f>IF(NOT(ISBLANK(A160)),VLOOKUP(A160,Listados!$A$3:$D$1252,4,FALSE),"")</f>
        <v/>
      </c>
      <c r="G160" s="5" t="str">
        <f t="shared" si="7"/>
        <v/>
      </c>
      <c r="H160" s="8">
        <f t="shared" si="8"/>
        <v>0</v>
      </c>
      <c r="I160" s="4" t="str">
        <f t="shared" si="9"/>
        <v/>
      </c>
    </row>
    <row r="161" spans="1:9" x14ac:dyDescent="0.2">
      <c r="A161" s="25"/>
      <c r="B161" s="25"/>
      <c r="C161" s="25"/>
      <c r="D161" s="25"/>
      <c r="E161" s="26" t="str">
        <f>IF(NOT(ISBLANK(A161)),VLOOKUP(A161,Listados!$A$3:$D$1252,2,FALSE),"")</f>
        <v/>
      </c>
      <c r="F161" s="26" t="str">
        <f>IF(NOT(ISBLANK(A161)),VLOOKUP(A161,Listados!$A$3:$D$1252,4,FALSE),"")</f>
        <v/>
      </c>
      <c r="G161" s="5" t="str">
        <f t="shared" si="7"/>
        <v/>
      </c>
      <c r="H161" s="8">
        <f t="shared" si="8"/>
        <v>0</v>
      </c>
      <c r="I161" s="4" t="str">
        <f t="shared" si="9"/>
        <v/>
      </c>
    </row>
    <row r="162" spans="1:9" x14ac:dyDescent="0.2">
      <c r="A162" s="25"/>
      <c r="B162" s="25"/>
      <c r="C162" s="25"/>
      <c r="D162" s="25"/>
      <c r="E162" s="26" t="str">
        <f>IF(NOT(ISBLANK(A162)),VLOOKUP(A162,Listados!$A$3:$D$1252,2,FALSE),"")</f>
        <v/>
      </c>
      <c r="F162" s="26" t="str">
        <f>IF(NOT(ISBLANK(A162)),VLOOKUP(A162,Listados!$A$3:$D$1252,4,FALSE),"")</f>
        <v/>
      </c>
      <c r="G162" s="5" t="str">
        <f t="shared" si="7"/>
        <v/>
      </c>
      <c r="H162" s="8">
        <f t="shared" si="8"/>
        <v>0</v>
      </c>
      <c r="I162" s="4" t="str">
        <f t="shared" si="9"/>
        <v/>
      </c>
    </row>
    <row r="163" spans="1:9" x14ac:dyDescent="0.2">
      <c r="A163" s="25"/>
      <c r="B163" s="25"/>
      <c r="C163" s="25"/>
      <c r="D163" s="25"/>
      <c r="E163" s="26" t="str">
        <f>IF(NOT(ISBLANK(A163)),VLOOKUP(A163,Listados!$A$3:$D$1252,2,FALSE),"")</f>
        <v/>
      </c>
      <c r="F163" s="26" t="str">
        <f>IF(NOT(ISBLANK(A163)),VLOOKUP(A163,Listados!$A$3:$D$1252,4,FALSE),"")</f>
        <v/>
      </c>
      <c r="G163" s="5" t="str">
        <f t="shared" si="7"/>
        <v/>
      </c>
      <c r="H163" s="8">
        <f t="shared" si="8"/>
        <v>0</v>
      </c>
      <c r="I163" s="4" t="str">
        <f t="shared" si="9"/>
        <v/>
      </c>
    </row>
    <row r="164" spans="1:9" x14ac:dyDescent="0.2">
      <c r="A164" s="25"/>
      <c r="B164" s="25"/>
      <c r="C164" s="25"/>
      <c r="D164" s="25"/>
      <c r="E164" s="26" t="str">
        <f>IF(NOT(ISBLANK(A164)),VLOOKUP(A164,Listados!$A$3:$D$1252,2,FALSE),"")</f>
        <v/>
      </c>
      <c r="F164" s="26" t="str">
        <f>IF(NOT(ISBLANK(A164)),VLOOKUP(A164,Listados!$A$3:$D$1252,4,FALSE),"")</f>
        <v/>
      </c>
      <c r="G164" s="5" t="str">
        <f t="shared" si="7"/>
        <v/>
      </c>
      <c r="H164" s="8">
        <f t="shared" si="8"/>
        <v>0</v>
      </c>
      <c r="I164" s="4" t="str">
        <f t="shared" si="9"/>
        <v/>
      </c>
    </row>
    <row r="165" spans="1:9" x14ac:dyDescent="0.2">
      <c r="A165" s="25"/>
      <c r="B165" s="25"/>
      <c r="C165" s="25"/>
      <c r="D165" s="25"/>
      <c r="E165" s="26" t="str">
        <f>IF(NOT(ISBLANK(A165)),VLOOKUP(A165,Listados!$A$3:$D$1252,2,FALSE),"")</f>
        <v/>
      </c>
      <c r="F165" s="26" t="str">
        <f>IF(NOT(ISBLANK(A165)),VLOOKUP(A165,Listados!$A$3:$D$1252,4,FALSE),"")</f>
        <v/>
      </c>
      <c r="G165" s="5" t="str">
        <f t="shared" si="7"/>
        <v/>
      </c>
      <c r="H165" s="8">
        <f t="shared" si="8"/>
        <v>0</v>
      </c>
      <c r="I165" s="4" t="str">
        <f t="shared" si="9"/>
        <v/>
      </c>
    </row>
    <row r="166" spans="1:9" x14ac:dyDescent="0.2">
      <c r="A166" s="25"/>
      <c r="B166" s="25"/>
      <c r="C166" s="25"/>
      <c r="D166" s="25"/>
      <c r="E166" s="26" t="str">
        <f>IF(NOT(ISBLANK(A166)),VLOOKUP(A166,Listados!$A$3:$D$1252,2,FALSE),"")</f>
        <v/>
      </c>
      <c r="F166" s="26" t="str">
        <f>IF(NOT(ISBLANK(A166)),VLOOKUP(A166,Listados!$A$3:$D$1252,4,FALSE),"")</f>
        <v/>
      </c>
      <c r="G166" s="5" t="str">
        <f t="shared" si="7"/>
        <v/>
      </c>
      <c r="H166" s="8">
        <f t="shared" si="8"/>
        <v>0</v>
      </c>
      <c r="I166" s="4" t="str">
        <f t="shared" si="9"/>
        <v/>
      </c>
    </row>
    <row r="167" spans="1:9" x14ac:dyDescent="0.2">
      <c r="A167" s="25"/>
      <c r="B167" s="25"/>
      <c r="C167" s="25"/>
      <c r="D167" s="25"/>
      <c r="E167" s="26" t="str">
        <f>IF(NOT(ISBLANK(A167)),VLOOKUP(A167,Listados!$A$3:$D$1252,2,FALSE),"")</f>
        <v/>
      </c>
      <c r="F167" s="26" t="str">
        <f>IF(NOT(ISBLANK(A167)),VLOOKUP(A167,Listados!$A$3:$D$1252,4,FALSE),"")</f>
        <v/>
      </c>
      <c r="G167" s="5" t="str">
        <f t="shared" si="7"/>
        <v/>
      </c>
      <c r="H167" s="8">
        <f t="shared" si="8"/>
        <v>0</v>
      </c>
      <c r="I167" s="4" t="str">
        <f t="shared" si="9"/>
        <v/>
      </c>
    </row>
    <row r="168" spans="1:9" x14ac:dyDescent="0.2">
      <c r="A168" s="25"/>
      <c r="B168" s="25"/>
      <c r="C168" s="25"/>
      <c r="D168" s="25"/>
      <c r="E168" s="26" t="str">
        <f>IF(NOT(ISBLANK(A168)),VLOOKUP(A168,Listados!$A$3:$D$1252,2,FALSE),"")</f>
        <v/>
      </c>
      <c r="F168" s="26" t="str">
        <f>IF(NOT(ISBLANK(A168)),VLOOKUP(A168,Listados!$A$3:$D$1252,4,FALSE),"")</f>
        <v/>
      </c>
      <c r="G168" s="5" t="str">
        <f t="shared" si="7"/>
        <v/>
      </c>
      <c r="H168" s="8">
        <f t="shared" si="8"/>
        <v>0</v>
      </c>
      <c r="I168" s="4" t="str">
        <f t="shared" si="9"/>
        <v/>
      </c>
    </row>
    <row r="169" spans="1:9" x14ac:dyDescent="0.2">
      <c r="A169" s="25"/>
      <c r="B169" s="25"/>
      <c r="C169" s="25"/>
      <c r="D169" s="25"/>
      <c r="E169" s="26" t="str">
        <f>IF(NOT(ISBLANK(A169)),VLOOKUP(A169,Listados!$A$3:$D$1252,2,FALSE),"")</f>
        <v/>
      </c>
      <c r="F169" s="26" t="str">
        <f>IF(NOT(ISBLANK(A169)),VLOOKUP(A169,Listados!$A$3:$D$1252,4,FALSE),"")</f>
        <v/>
      </c>
      <c r="G169" s="5" t="str">
        <f t="shared" si="7"/>
        <v/>
      </c>
      <c r="H169" s="8">
        <f t="shared" si="8"/>
        <v>0</v>
      </c>
      <c r="I169" s="4" t="str">
        <f t="shared" si="9"/>
        <v/>
      </c>
    </row>
    <row r="170" spans="1:9" x14ac:dyDescent="0.2">
      <c r="A170" s="25"/>
      <c r="B170" s="25"/>
      <c r="C170" s="25"/>
      <c r="D170" s="25"/>
      <c r="E170" s="26" t="str">
        <f>IF(NOT(ISBLANK(A170)),VLOOKUP(A170,Listados!$A$3:$D$1252,2,FALSE),"")</f>
        <v/>
      </c>
      <c r="F170" s="26" t="str">
        <f>IF(NOT(ISBLANK(A170)),VLOOKUP(A170,Listados!$A$3:$D$1252,4,FALSE),"")</f>
        <v/>
      </c>
      <c r="G170" s="5" t="str">
        <f t="shared" si="7"/>
        <v/>
      </c>
      <c r="H170" s="8">
        <f t="shared" si="8"/>
        <v>0</v>
      </c>
      <c r="I170" s="4" t="str">
        <f t="shared" si="9"/>
        <v/>
      </c>
    </row>
    <row r="171" spans="1:9" x14ac:dyDescent="0.2">
      <c r="A171" s="25"/>
      <c r="B171" s="25"/>
      <c r="C171" s="25"/>
      <c r="D171" s="25"/>
      <c r="E171" s="26" t="str">
        <f>IF(NOT(ISBLANK(A171)),VLOOKUP(A171,Listados!$A$3:$D$1252,2,FALSE),"")</f>
        <v/>
      </c>
      <c r="F171" s="26" t="str">
        <f>IF(NOT(ISBLANK(A171)),VLOOKUP(A171,Listados!$A$3:$D$1252,4,FALSE),"")</f>
        <v/>
      </c>
      <c r="G171" s="5" t="str">
        <f t="shared" si="7"/>
        <v/>
      </c>
      <c r="H171" s="8">
        <f t="shared" si="8"/>
        <v>0</v>
      </c>
      <c r="I171" s="4" t="str">
        <f t="shared" si="9"/>
        <v/>
      </c>
    </row>
    <row r="172" spans="1:9" x14ac:dyDescent="0.2">
      <c r="A172" s="25"/>
      <c r="B172" s="25"/>
      <c r="C172" s="25"/>
      <c r="D172" s="25"/>
      <c r="E172" s="26" t="str">
        <f>IF(NOT(ISBLANK(A172)),VLOOKUP(A172,Listados!$A$3:$D$1252,2,FALSE),"")</f>
        <v/>
      </c>
      <c r="F172" s="26" t="str">
        <f>IF(NOT(ISBLANK(A172)),VLOOKUP(A172,Listados!$A$3:$D$1252,4,FALSE),"")</f>
        <v/>
      </c>
      <c r="G172" s="5" t="str">
        <f t="shared" si="7"/>
        <v/>
      </c>
      <c r="H172" s="8">
        <f t="shared" si="8"/>
        <v>0</v>
      </c>
      <c r="I172" s="4" t="str">
        <f t="shared" si="9"/>
        <v/>
      </c>
    </row>
    <row r="173" spans="1:9" x14ac:dyDescent="0.2">
      <c r="A173" s="25"/>
      <c r="B173" s="25"/>
      <c r="C173" s="25"/>
      <c r="D173" s="25"/>
      <c r="E173" s="26" t="str">
        <f>IF(NOT(ISBLANK(A173)),VLOOKUP(A173,Listados!$A$3:$D$1252,2,FALSE),"")</f>
        <v/>
      </c>
      <c r="F173" s="26" t="str">
        <f>IF(NOT(ISBLANK(A173)),VLOOKUP(A173,Listados!$A$3:$D$1252,4,FALSE),"")</f>
        <v/>
      </c>
      <c r="G173" s="5" t="str">
        <f t="shared" si="7"/>
        <v/>
      </c>
      <c r="H173" s="8">
        <f t="shared" si="8"/>
        <v>0</v>
      </c>
      <c r="I173" s="4" t="str">
        <f t="shared" si="9"/>
        <v/>
      </c>
    </row>
    <row r="174" spans="1:9" x14ac:dyDescent="0.2">
      <c r="A174" s="25"/>
      <c r="B174" s="25"/>
      <c r="C174" s="25"/>
      <c r="D174" s="25"/>
      <c r="E174" s="26" t="str">
        <f>IF(NOT(ISBLANK(A174)),VLOOKUP(A174,Listados!$A$3:$D$1252,2,FALSE),"")</f>
        <v/>
      </c>
      <c r="F174" s="26" t="str">
        <f>IF(NOT(ISBLANK(A174)),VLOOKUP(A174,Listados!$A$3:$D$1252,4,FALSE),"")</f>
        <v/>
      </c>
      <c r="G174" s="5" t="str">
        <f t="shared" si="7"/>
        <v/>
      </c>
      <c r="H174" s="8">
        <f t="shared" si="8"/>
        <v>0</v>
      </c>
      <c r="I174" s="4" t="str">
        <f t="shared" si="9"/>
        <v/>
      </c>
    </row>
    <row r="175" spans="1:9" x14ac:dyDescent="0.2">
      <c r="A175" s="25"/>
      <c r="B175" s="25"/>
      <c r="C175" s="25"/>
      <c r="D175" s="25"/>
      <c r="E175" s="26" t="str">
        <f>IF(NOT(ISBLANK(A175)),VLOOKUP(A175,Listados!$A$3:$D$1252,2,FALSE),"")</f>
        <v/>
      </c>
      <c r="F175" s="26" t="str">
        <f>IF(NOT(ISBLANK(A175)),VLOOKUP(A175,Listados!$A$3:$D$1252,4,FALSE),"")</f>
        <v/>
      </c>
      <c r="G175" s="5" t="str">
        <f t="shared" si="7"/>
        <v/>
      </c>
      <c r="H175" s="8">
        <f t="shared" si="8"/>
        <v>0</v>
      </c>
      <c r="I175" s="4" t="str">
        <f t="shared" si="9"/>
        <v/>
      </c>
    </row>
    <row r="176" spans="1:9" x14ac:dyDescent="0.2">
      <c r="A176" s="25"/>
      <c r="B176" s="25"/>
      <c r="C176" s="25"/>
      <c r="D176" s="25"/>
      <c r="E176" s="26" t="str">
        <f>IF(NOT(ISBLANK(A176)),VLOOKUP(A176,Listados!$A$3:$D$1252,2,FALSE),"")</f>
        <v/>
      </c>
      <c r="F176" s="26" t="str">
        <f>IF(NOT(ISBLANK(A176)),VLOOKUP(A176,Listados!$A$3:$D$1252,4,FALSE),"")</f>
        <v/>
      </c>
      <c r="G176" s="5" t="str">
        <f t="shared" si="7"/>
        <v/>
      </c>
      <c r="H176" s="8">
        <f t="shared" si="8"/>
        <v>0</v>
      </c>
      <c r="I176" s="4" t="str">
        <f t="shared" si="9"/>
        <v/>
      </c>
    </row>
    <row r="177" spans="1:9" x14ac:dyDescent="0.2">
      <c r="A177" s="25"/>
      <c r="B177" s="25"/>
      <c r="C177" s="25"/>
      <c r="D177" s="25"/>
      <c r="E177" s="26" t="str">
        <f>IF(NOT(ISBLANK(A177)),VLOOKUP(A177,Listados!$A$3:$D$1252,2,FALSE),"")</f>
        <v/>
      </c>
      <c r="F177" s="26" t="str">
        <f>IF(NOT(ISBLANK(A177)),VLOOKUP(A177,Listados!$A$3:$D$1252,4,FALSE),"")</f>
        <v/>
      </c>
      <c r="G177" s="5" t="str">
        <f t="shared" si="7"/>
        <v/>
      </c>
      <c r="H177" s="8">
        <f t="shared" si="8"/>
        <v>0</v>
      </c>
      <c r="I177" s="4" t="str">
        <f t="shared" si="9"/>
        <v/>
      </c>
    </row>
    <row r="178" spans="1:9" x14ac:dyDescent="0.2">
      <c r="A178" s="25"/>
      <c r="B178" s="25"/>
      <c r="C178" s="25"/>
      <c r="D178" s="25"/>
      <c r="E178" s="26" t="str">
        <f>IF(NOT(ISBLANK(A178)),VLOOKUP(A178,Listados!$A$3:$D$1252,2,FALSE),"")</f>
        <v/>
      </c>
      <c r="F178" s="26" t="str">
        <f>IF(NOT(ISBLANK(A178)),VLOOKUP(A178,Listados!$A$3:$D$1252,4,FALSE),"")</f>
        <v/>
      </c>
      <c r="G178" s="5" t="str">
        <f t="shared" si="7"/>
        <v/>
      </c>
      <c r="H178" s="8">
        <f t="shared" si="8"/>
        <v>0</v>
      </c>
      <c r="I178" s="4" t="str">
        <f t="shared" si="9"/>
        <v/>
      </c>
    </row>
    <row r="179" spans="1:9" x14ac:dyDescent="0.2">
      <c r="A179" s="25"/>
      <c r="B179" s="25"/>
      <c r="C179" s="25"/>
      <c r="D179" s="25"/>
      <c r="E179" s="26" t="str">
        <f>IF(NOT(ISBLANK(A179)),VLOOKUP(A179,Listados!$A$3:$D$1252,2,FALSE),"")</f>
        <v/>
      </c>
      <c r="F179" s="26" t="str">
        <f>IF(NOT(ISBLANK(A179)),VLOOKUP(A179,Listados!$A$3:$D$1252,4,FALSE),"")</f>
        <v/>
      </c>
      <c r="G179" s="5" t="str">
        <f t="shared" si="7"/>
        <v/>
      </c>
      <c r="H179" s="8">
        <f t="shared" si="8"/>
        <v>0</v>
      </c>
      <c r="I179" s="4" t="str">
        <f t="shared" si="9"/>
        <v/>
      </c>
    </row>
    <row r="180" spans="1:9" x14ac:dyDescent="0.2">
      <c r="A180" s="25"/>
      <c r="B180" s="25"/>
      <c r="C180" s="25"/>
      <c r="D180" s="25"/>
      <c r="E180" s="26" t="str">
        <f>IF(NOT(ISBLANK(A180)),VLOOKUP(A180,Listados!$A$3:$D$1252,2,FALSE),"")</f>
        <v/>
      </c>
      <c r="F180" s="26" t="str">
        <f>IF(NOT(ISBLANK(A180)),VLOOKUP(A180,Listados!$A$3:$D$1252,4,FALSE),"")</f>
        <v/>
      </c>
      <c r="G180" s="5" t="str">
        <f t="shared" si="7"/>
        <v/>
      </c>
      <c r="H180" s="8">
        <f t="shared" si="8"/>
        <v>0</v>
      </c>
      <c r="I180" s="4" t="str">
        <f t="shared" si="9"/>
        <v/>
      </c>
    </row>
    <row r="181" spans="1:9" x14ac:dyDescent="0.2">
      <c r="A181" s="25"/>
      <c r="B181" s="25"/>
      <c r="C181" s="25"/>
      <c r="D181" s="25"/>
      <c r="E181" s="26" t="str">
        <f>IF(NOT(ISBLANK(A181)),VLOOKUP(A181,Listados!$A$3:$D$1252,2,FALSE),"")</f>
        <v/>
      </c>
      <c r="F181" s="26" t="str">
        <f>IF(NOT(ISBLANK(A181)),VLOOKUP(A181,Listados!$A$3:$D$1252,4,FALSE),"")</f>
        <v/>
      </c>
      <c r="G181" s="5" t="str">
        <f t="shared" si="7"/>
        <v/>
      </c>
      <c r="H181" s="8">
        <f t="shared" si="8"/>
        <v>0</v>
      </c>
      <c r="I181" s="4" t="str">
        <f t="shared" si="9"/>
        <v/>
      </c>
    </row>
    <row r="182" spans="1:9" x14ac:dyDescent="0.2">
      <c r="A182" s="25"/>
      <c r="B182" s="25"/>
      <c r="C182" s="25"/>
      <c r="D182" s="25"/>
      <c r="E182" s="26" t="str">
        <f>IF(NOT(ISBLANK(A182)),VLOOKUP(A182,Listados!$A$3:$D$1252,2,FALSE),"")</f>
        <v/>
      </c>
      <c r="F182" s="26" t="str">
        <f>IF(NOT(ISBLANK(A182)),VLOOKUP(A182,Listados!$A$3:$D$1252,4,FALSE),"")</f>
        <v/>
      </c>
      <c r="G182" s="5" t="str">
        <f t="shared" si="7"/>
        <v/>
      </c>
      <c r="H182" s="8">
        <f t="shared" si="8"/>
        <v>0</v>
      </c>
      <c r="I182" s="4" t="str">
        <f t="shared" si="9"/>
        <v/>
      </c>
    </row>
    <row r="183" spans="1:9" x14ac:dyDescent="0.2">
      <c r="A183" s="25"/>
      <c r="B183" s="25"/>
      <c r="C183" s="25"/>
      <c r="D183" s="25"/>
      <c r="E183" s="26" t="str">
        <f>IF(NOT(ISBLANK(A183)),VLOOKUP(A183,Listados!$A$3:$D$1252,2,FALSE),"")</f>
        <v/>
      </c>
      <c r="F183" s="26" t="str">
        <f>IF(NOT(ISBLANK(A183)),VLOOKUP(A183,Listados!$A$3:$D$1252,4,FALSE),"")</f>
        <v/>
      </c>
      <c r="G183" s="5" t="str">
        <f t="shared" si="7"/>
        <v/>
      </c>
      <c r="H183" s="8">
        <f t="shared" si="8"/>
        <v>0</v>
      </c>
      <c r="I183" s="4" t="str">
        <f t="shared" si="9"/>
        <v/>
      </c>
    </row>
    <row r="184" spans="1:9" x14ac:dyDescent="0.2">
      <c r="A184" s="25"/>
      <c r="B184" s="25"/>
      <c r="C184" s="25"/>
      <c r="D184" s="25"/>
      <c r="E184" s="26" t="str">
        <f>IF(NOT(ISBLANK(A184)),VLOOKUP(A184,Listados!$A$3:$D$1252,2,FALSE),"")</f>
        <v/>
      </c>
      <c r="F184" s="26" t="str">
        <f>IF(NOT(ISBLANK(A184)),VLOOKUP(A184,Listados!$A$3:$D$1252,4,FALSE),"")</f>
        <v/>
      </c>
      <c r="G184" s="5" t="str">
        <f t="shared" si="7"/>
        <v/>
      </c>
      <c r="H184" s="8">
        <f t="shared" si="8"/>
        <v>0</v>
      </c>
      <c r="I184" s="4" t="str">
        <f t="shared" si="9"/>
        <v/>
      </c>
    </row>
    <row r="185" spans="1:9" x14ac:dyDescent="0.2">
      <c r="A185" s="25"/>
      <c r="B185" s="25"/>
      <c r="C185" s="25"/>
      <c r="D185" s="25"/>
      <c r="E185" s="26" t="str">
        <f>IF(NOT(ISBLANK(A185)),VLOOKUP(A185,Listados!$A$3:$D$1252,2,FALSE),"")</f>
        <v/>
      </c>
      <c r="F185" s="26" t="str">
        <f>IF(NOT(ISBLANK(A185)),VLOOKUP(A185,Listados!$A$3:$D$1252,4,FALSE),"")</f>
        <v/>
      </c>
      <c r="G185" s="5" t="str">
        <f t="shared" si="7"/>
        <v/>
      </c>
      <c r="H185" s="8">
        <f t="shared" si="8"/>
        <v>0</v>
      </c>
      <c r="I185" s="4" t="str">
        <f t="shared" si="9"/>
        <v/>
      </c>
    </row>
    <row r="186" spans="1:9" x14ac:dyDescent="0.2">
      <c r="A186" s="25"/>
      <c r="B186" s="25"/>
      <c r="C186" s="25"/>
      <c r="D186" s="25"/>
      <c r="E186" s="26" t="str">
        <f>IF(NOT(ISBLANK(A186)),VLOOKUP(A186,Listados!$A$3:$D$1252,2,FALSE),"")</f>
        <v/>
      </c>
      <c r="F186" s="26" t="str">
        <f>IF(NOT(ISBLANK(A186)),VLOOKUP(A186,Listados!$A$3:$D$1252,4,FALSE),"")</f>
        <v/>
      </c>
      <c r="G186" s="5" t="str">
        <f t="shared" si="7"/>
        <v/>
      </c>
      <c r="H186" s="8">
        <f t="shared" si="8"/>
        <v>0</v>
      </c>
      <c r="I186" s="4" t="str">
        <f t="shared" si="9"/>
        <v/>
      </c>
    </row>
    <row r="187" spans="1:9" x14ac:dyDescent="0.2">
      <c r="A187" s="25"/>
      <c r="B187" s="25"/>
      <c r="C187" s="25"/>
      <c r="D187" s="25"/>
      <c r="E187" s="26" t="str">
        <f>IF(NOT(ISBLANK(A187)),VLOOKUP(A187,Listados!$A$3:$D$1252,2,FALSE),"")</f>
        <v/>
      </c>
      <c r="F187" s="26" t="str">
        <f>IF(NOT(ISBLANK(A187)),VLOOKUP(A187,Listados!$A$3:$D$1252,4,FALSE),"")</f>
        <v/>
      </c>
      <c r="G187" s="5" t="str">
        <f t="shared" si="7"/>
        <v/>
      </c>
      <c r="H187" s="8">
        <f t="shared" si="8"/>
        <v>0</v>
      </c>
      <c r="I187" s="4" t="str">
        <f t="shared" si="9"/>
        <v/>
      </c>
    </row>
    <row r="188" spans="1:9" x14ac:dyDescent="0.2">
      <c r="A188" s="25"/>
      <c r="B188" s="25"/>
      <c r="C188" s="25"/>
      <c r="D188" s="25"/>
      <c r="E188" s="26" t="str">
        <f>IF(NOT(ISBLANK(A188)),VLOOKUP(A188,Listados!$A$3:$D$1252,2,FALSE),"")</f>
        <v/>
      </c>
      <c r="F188" s="26" t="str">
        <f>IF(NOT(ISBLANK(A188)),VLOOKUP(A188,Listados!$A$3:$D$1252,4,FALSE),"")</f>
        <v/>
      </c>
      <c r="G188" s="5" t="str">
        <f t="shared" si="7"/>
        <v/>
      </c>
      <c r="H188" s="8">
        <f t="shared" si="8"/>
        <v>0</v>
      </c>
      <c r="I188" s="4" t="str">
        <f t="shared" si="9"/>
        <v/>
      </c>
    </row>
    <row r="189" spans="1:9" x14ac:dyDescent="0.2">
      <c r="A189" s="25"/>
      <c r="B189" s="25"/>
      <c r="C189" s="25"/>
      <c r="D189" s="25"/>
      <c r="E189" s="26" t="str">
        <f>IF(NOT(ISBLANK(A189)),VLOOKUP(A189,Listados!$A$3:$D$1252,2,FALSE),"")</f>
        <v/>
      </c>
      <c r="F189" s="26" t="str">
        <f>IF(NOT(ISBLANK(A189)),VLOOKUP(A189,Listados!$A$3:$D$1252,4,FALSE),"")</f>
        <v/>
      </c>
      <c r="G189" s="5" t="str">
        <f t="shared" si="7"/>
        <v/>
      </c>
      <c r="H189" s="8">
        <f t="shared" si="8"/>
        <v>0</v>
      </c>
      <c r="I189" s="4" t="str">
        <f t="shared" si="9"/>
        <v/>
      </c>
    </row>
    <row r="190" spans="1:9" x14ac:dyDescent="0.2">
      <c r="A190" s="25"/>
      <c r="B190" s="25"/>
      <c r="C190" s="25"/>
      <c r="D190" s="25"/>
      <c r="E190" s="26" t="str">
        <f>IF(NOT(ISBLANK(A190)),VLOOKUP(A190,Listados!$A$3:$D$1252,2,FALSE),"")</f>
        <v/>
      </c>
      <c r="F190" s="26" t="str">
        <f>IF(NOT(ISBLANK(A190)),VLOOKUP(A190,Listados!$A$3:$D$1252,4,FALSE),"")</f>
        <v/>
      </c>
      <c r="G190" s="5" t="str">
        <f t="shared" si="7"/>
        <v/>
      </c>
      <c r="H190" s="8">
        <f t="shared" si="8"/>
        <v>0</v>
      </c>
      <c r="I190" s="4" t="str">
        <f t="shared" si="9"/>
        <v/>
      </c>
    </row>
    <row r="191" spans="1:9" x14ac:dyDescent="0.2">
      <c r="A191" s="25"/>
      <c r="B191" s="25"/>
      <c r="C191" s="25"/>
      <c r="D191" s="25"/>
      <c r="E191" s="26" t="str">
        <f>IF(NOT(ISBLANK(A191)),VLOOKUP(A191,Listados!$A$3:$D$1252,2,FALSE),"")</f>
        <v/>
      </c>
      <c r="F191" s="26" t="str">
        <f>IF(NOT(ISBLANK(A191)),VLOOKUP(A191,Listados!$A$3:$D$1252,4,FALSE),"")</f>
        <v/>
      </c>
      <c r="G191" s="5" t="str">
        <f t="shared" si="7"/>
        <v/>
      </c>
      <c r="H191" s="8">
        <f t="shared" si="8"/>
        <v>0</v>
      </c>
      <c r="I191" s="4" t="str">
        <f t="shared" si="9"/>
        <v/>
      </c>
    </row>
    <row r="192" spans="1:9" x14ac:dyDescent="0.2">
      <c r="A192" s="25"/>
      <c r="B192" s="25"/>
      <c r="C192" s="25"/>
      <c r="D192" s="25"/>
      <c r="E192" s="26" t="str">
        <f>IF(NOT(ISBLANK(A192)),VLOOKUP(A192,Listados!$A$3:$D$1252,2,FALSE),"")</f>
        <v/>
      </c>
      <c r="F192" s="26" t="str">
        <f>IF(NOT(ISBLANK(A192)),VLOOKUP(A192,Listados!$A$3:$D$1252,4,FALSE),"")</f>
        <v/>
      </c>
      <c r="G192" s="5" t="str">
        <f t="shared" si="7"/>
        <v/>
      </c>
      <c r="H192" s="8">
        <f t="shared" si="8"/>
        <v>0</v>
      </c>
      <c r="I192" s="4" t="str">
        <f t="shared" si="9"/>
        <v/>
      </c>
    </row>
    <row r="193" spans="1:9" x14ac:dyDescent="0.2">
      <c r="A193" s="25"/>
      <c r="B193" s="25"/>
      <c r="C193" s="25"/>
      <c r="D193" s="25"/>
      <c r="E193" s="26" t="str">
        <f>IF(NOT(ISBLANK(A193)),VLOOKUP(A193,Listados!$A$3:$D$1252,2,FALSE),"")</f>
        <v/>
      </c>
      <c r="F193" s="26" t="str">
        <f>IF(NOT(ISBLANK(A193)),VLOOKUP(A193,Listados!$A$3:$D$1252,4,FALSE),"")</f>
        <v/>
      </c>
      <c r="G193" s="5" t="str">
        <f t="shared" si="7"/>
        <v/>
      </c>
      <c r="H193" s="8">
        <f t="shared" si="8"/>
        <v>0</v>
      </c>
      <c r="I193" s="4" t="str">
        <f t="shared" si="9"/>
        <v/>
      </c>
    </row>
    <row r="194" spans="1:9" x14ac:dyDescent="0.2">
      <c r="A194" s="25"/>
      <c r="B194" s="25"/>
      <c r="C194" s="25"/>
      <c r="D194" s="25"/>
      <c r="E194" s="26" t="str">
        <f>IF(NOT(ISBLANK(A194)),VLOOKUP(A194,Listados!$A$3:$D$1252,2,FALSE),"")</f>
        <v/>
      </c>
      <c r="F194" s="26" t="str">
        <f>IF(NOT(ISBLANK(A194)),VLOOKUP(A194,Listados!$A$3:$D$1252,4,FALSE),"")</f>
        <v/>
      </c>
      <c r="G194" s="5" t="str">
        <f t="shared" si="7"/>
        <v/>
      </c>
      <c r="H194" s="8">
        <f t="shared" si="8"/>
        <v>0</v>
      </c>
      <c r="I194" s="4" t="str">
        <f t="shared" si="9"/>
        <v/>
      </c>
    </row>
    <row r="195" spans="1:9" x14ac:dyDescent="0.2">
      <c r="A195" s="25"/>
      <c r="B195" s="25"/>
      <c r="C195" s="25"/>
      <c r="D195" s="25"/>
      <c r="E195" s="26" t="str">
        <f>IF(NOT(ISBLANK(A195)),VLOOKUP(A195,Listados!$A$3:$D$1252,2,FALSE),"")</f>
        <v/>
      </c>
      <c r="F195" s="26" t="str">
        <f>IF(NOT(ISBLANK(A195)),VLOOKUP(A195,Listados!$A$3:$D$1252,4,FALSE),"")</f>
        <v/>
      </c>
      <c r="G195" s="5" t="str">
        <f t="shared" si="7"/>
        <v/>
      </c>
      <c r="H195" s="8">
        <f t="shared" si="8"/>
        <v>0</v>
      </c>
      <c r="I195" s="4" t="str">
        <f t="shared" si="9"/>
        <v/>
      </c>
    </row>
    <row r="196" spans="1:9" x14ac:dyDescent="0.2">
      <c r="A196" s="25"/>
      <c r="B196" s="25"/>
      <c r="C196" s="25"/>
      <c r="D196" s="25"/>
      <c r="E196" s="26" t="str">
        <f>IF(NOT(ISBLANK(A196)),VLOOKUP(A196,Listados!$A$3:$D$1252,2,FALSE),"")</f>
        <v/>
      </c>
      <c r="F196" s="26" t="str">
        <f>IF(NOT(ISBLANK(A196)),VLOOKUP(A196,Listados!$A$3:$D$1252,4,FALSE),"")</f>
        <v/>
      </c>
      <c r="G196" s="5" t="str">
        <f t="shared" si="7"/>
        <v/>
      </c>
      <c r="H196" s="8">
        <f t="shared" si="8"/>
        <v>0</v>
      </c>
      <c r="I196" s="4" t="str">
        <f t="shared" si="9"/>
        <v/>
      </c>
    </row>
    <row r="197" spans="1:9" x14ac:dyDescent="0.2">
      <c r="A197" s="25"/>
      <c r="B197" s="25"/>
      <c r="C197" s="25"/>
      <c r="D197" s="25"/>
      <c r="E197" s="26" t="str">
        <f>IF(NOT(ISBLANK(A197)),VLOOKUP(A197,Listados!$A$3:$D$1252,2,FALSE),"")</f>
        <v/>
      </c>
      <c r="F197" s="26" t="str">
        <f>IF(NOT(ISBLANK(A197)),VLOOKUP(A197,Listados!$A$3:$D$1252,4,FALSE),"")</f>
        <v/>
      </c>
      <c r="G197" s="5" t="str">
        <f t="shared" si="7"/>
        <v/>
      </c>
      <c r="H197" s="8">
        <f t="shared" si="8"/>
        <v>0</v>
      </c>
      <c r="I197" s="4" t="str">
        <f t="shared" si="9"/>
        <v/>
      </c>
    </row>
    <row r="198" spans="1:9" x14ac:dyDescent="0.2">
      <c r="A198" s="25"/>
      <c r="B198" s="25"/>
      <c r="C198" s="25"/>
      <c r="D198" s="25"/>
      <c r="E198" s="26" t="str">
        <f>IF(NOT(ISBLANK(A198)),VLOOKUP(A198,Listados!$A$3:$D$1252,2,FALSE),"")</f>
        <v/>
      </c>
      <c r="F198" s="26" t="str">
        <f>IF(NOT(ISBLANK(A198)),VLOOKUP(A198,Listados!$A$3:$D$1252,4,FALSE),"")</f>
        <v/>
      </c>
      <c r="G198" s="5" t="str">
        <f t="shared" si="7"/>
        <v/>
      </c>
      <c r="H198" s="8">
        <f t="shared" si="8"/>
        <v>0</v>
      </c>
      <c r="I198" s="4" t="str">
        <f t="shared" si="9"/>
        <v/>
      </c>
    </row>
    <row r="199" spans="1:9" x14ac:dyDescent="0.2">
      <c r="A199" s="25"/>
      <c r="B199" s="25"/>
      <c r="C199" s="25"/>
      <c r="D199" s="25"/>
      <c r="E199" s="26" t="str">
        <f>IF(NOT(ISBLANK(A199)),VLOOKUP(A199,Listados!$A$3:$D$1252,2,FALSE),"")</f>
        <v/>
      </c>
      <c r="F199" s="26" t="str">
        <f>IF(NOT(ISBLANK(A199)),VLOOKUP(A199,Listados!$A$3:$D$1252,4,FALSE),"")</f>
        <v/>
      </c>
      <c r="G199" s="5" t="str">
        <f t="shared" si="7"/>
        <v/>
      </c>
      <c r="H199" s="8">
        <f t="shared" si="8"/>
        <v>0</v>
      </c>
      <c r="I199" s="4" t="str">
        <f t="shared" si="9"/>
        <v/>
      </c>
    </row>
    <row r="200" spans="1:9" x14ac:dyDescent="0.2">
      <c r="A200" s="25"/>
      <c r="B200" s="25"/>
      <c r="C200" s="25"/>
      <c r="D200" s="25"/>
      <c r="E200" s="26" t="str">
        <f>IF(NOT(ISBLANK(A200)),VLOOKUP(A200,Listados!$A$3:$D$1252,2,FALSE),"")</f>
        <v/>
      </c>
      <c r="F200" s="26" t="str">
        <f>IF(NOT(ISBLANK(A200)),VLOOKUP(A200,Listados!$A$3:$D$1252,4,FALSE),"")</f>
        <v/>
      </c>
      <c r="G200" s="5" t="str">
        <f t="shared" si="7"/>
        <v/>
      </c>
      <c r="H200" s="8">
        <f t="shared" si="8"/>
        <v>0</v>
      </c>
      <c r="I200" s="4" t="str">
        <f t="shared" si="9"/>
        <v/>
      </c>
    </row>
    <row r="201" spans="1:9" x14ac:dyDescent="0.2">
      <c r="A201" s="25"/>
      <c r="B201" s="25"/>
      <c r="C201" s="25"/>
      <c r="D201" s="25"/>
      <c r="E201" s="26" t="str">
        <f>IF(NOT(ISBLANK(A201)),VLOOKUP(A201,Listados!$A$3:$D$1252,2,FALSE),"")</f>
        <v/>
      </c>
      <c r="F201" s="26" t="str">
        <f>IF(NOT(ISBLANK(A201)),VLOOKUP(A201,Listados!$A$3:$D$1252,4,FALSE),"")</f>
        <v/>
      </c>
      <c r="G201" s="5" t="str">
        <f t="shared" si="7"/>
        <v/>
      </c>
      <c r="H201" s="8">
        <f t="shared" si="8"/>
        <v>0</v>
      </c>
      <c r="I201" s="4" t="str">
        <f t="shared" si="9"/>
        <v/>
      </c>
    </row>
    <row r="202" spans="1:9" x14ac:dyDescent="0.2">
      <c r="A202" s="25"/>
      <c r="B202" s="25"/>
      <c r="C202" s="25"/>
      <c r="D202" s="25"/>
      <c r="E202" s="26" t="str">
        <f>IF(NOT(ISBLANK(A202)),VLOOKUP(A202,Listados!$A$3:$D$1252,2,FALSE),"")</f>
        <v/>
      </c>
      <c r="F202" s="26" t="str">
        <f>IF(NOT(ISBLANK(A202)),VLOOKUP(A202,Listados!$A$3:$D$1252,4,FALSE),"")</f>
        <v/>
      </c>
      <c r="G202" s="5" t="str">
        <f t="shared" si="7"/>
        <v/>
      </c>
      <c r="H202" s="8">
        <f t="shared" si="8"/>
        <v>0</v>
      </c>
      <c r="I202" s="4" t="str">
        <f t="shared" si="9"/>
        <v/>
      </c>
    </row>
    <row r="203" spans="1:9" x14ac:dyDescent="0.2">
      <c r="A203" s="25"/>
      <c r="B203" s="25"/>
      <c r="C203" s="25"/>
      <c r="D203" s="25"/>
      <c r="E203" s="26" t="str">
        <f>IF(NOT(ISBLANK(A203)),VLOOKUP(A203,Listados!$A$3:$D$1252,2,FALSE),"")</f>
        <v/>
      </c>
      <c r="F203" s="26" t="str">
        <f>IF(NOT(ISBLANK(A203)),VLOOKUP(A203,Listados!$A$3:$D$1252,4,FALSE),"")</f>
        <v/>
      </c>
      <c r="G203" s="5" t="str">
        <f t="shared" si="7"/>
        <v/>
      </c>
      <c r="H203" s="8">
        <f t="shared" si="8"/>
        <v>0</v>
      </c>
      <c r="I203" s="4" t="str">
        <f t="shared" si="9"/>
        <v/>
      </c>
    </row>
    <row r="204" spans="1:9" x14ac:dyDescent="0.2">
      <c r="A204" s="25"/>
      <c r="B204" s="25"/>
      <c r="C204" s="25"/>
      <c r="D204" s="25"/>
      <c r="E204" s="26" t="str">
        <f>IF(NOT(ISBLANK(A204)),VLOOKUP(A204,Listados!$A$3:$D$1252,2,FALSE),"")</f>
        <v/>
      </c>
      <c r="F204" s="26" t="str">
        <f>IF(NOT(ISBLANK(A204)),VLOOKUP(A204,Listados!$A$3:$D$1252,4,FALSE),"")</f>
        <v/>
      </c>
      <c r="G204" s="5" t="str">
        <f t="shared" si="7"/>
        <v/>
      </c>
      <c r="H204" s="8">
        <f t="shared" si="8"/>
        <v>0</v>
      </c>
      <c r="I204" s="4" t="str">
        <f t="shared" si="9"/>
        <v/>
      </c>
    </row>
    <row r="205" spans="1:9" x14ac:dyDescent="0.2">
      <c r="A205" s="25"/>
      <c r="B205" s="25"/>
      <c r="C205" s="25"/>
      <c r="D205" s="25"/>
      <c r="E205" s="26" t="str">
        <f>IF(NOT(ISBLANK(A205)),VLOOKUP(A205,Listados!$A$3:$D$1252,2,FALSE),"")</f>
        <v/>
      </c>
      <c r="F205" s="26" t="str">
        <f>IF(NOT(ISBLANK(A205)),VLOOKUP(A205,Listados!$A$3:$D$1252,4,FALSE),"")</f>
        <v/>
      </c>
      <c r="G205" s="5" t="str">
        <f t="shared" si="7"/>
        <v/>
      </c>
      <c r="H205" s="8">
        <f t="shared" si="8"/>
        <v>0</v>
      </c>
      <c r="I205" s="4" t="str">
        <f t="shared" si="9"/>
        <v/>
      </c>
    </row>
    <row r="206" spans="1:9" x14ac:dyDescent="0.2">
      <c r="A206" s="25"/>
      <c r="B206" s="25"/>
      <c r="C206" s="25"/>
      <c r="D206" s="25"/>
      <c r="E206" s="26" t="str">
        <f>IF(NOT(ISBLANK(A206)),VLOOKUP(A206,Listados!$A$3:$D$1252,2,FALSE),"")</f>
        <v/>
      </c>
      <c r="F206" s="26" t="str">
        <f>IF(NOT(ISBLANK(A206)),VLOOKUP(A206,Listados!$A$3:$D$1252,4,FALSE),"")</f>
        <v/>
      </c>
      <c r="G206" s="5" t="str">
        <f t="shared" si="7"/>
        <v/>
      </c>
      <c r="H206" s="8">
        <f t="shared" si="8"/>
        <v>0</v>
      </c>
      <c r="I206" s="4" t="str">
        <f t="shared" si="9"/>
        <v/>
      </c>
    </row>
    <row r="207" spans="1:9" x14ac:dyDescent="0.2">
      <c r="A207" s="25"/>
      <c r="B207" s="25"/>
      <c r="C207" s="25"/>
      <c r="D207" s="25"/>
      <c r="E207" s="26" t="str">
        <f>IF(NOT(ISBLANK(A207)),VLOOKUP(A207,Listados!$A$3:$D$1252,2,FALSE),"")</f>
        <v/>
      </c>
      <c r="F207" s="26" t="str">
        <f>IF(NOT(ISBLANK(A207)),VLOOKUP(A207,Listados!$A$3:$D$1252,4,FALSE),"")</f>
        <v/>
      </c>
      <c r="G207" s="5" t="str">
        <f t="shared" si="7"/>
        <v/>
      </c>
      <c r="H207" s="8">
        <f t="shared" si="8"/>
        <v>0</v>
      </c>
      <c r="I207" s="4" t="str">
        <f t="shared" si="9"/>
        <v/>
      </c>
    </row>
    <row r="208" spans="1:9" x14ac:dyDescent="0.2">
      <c r="A208" s="25"/>
      <c r="B208" s="25"/>
      <c r="C208" s="25"/>
      <c r="D208" s="25"/>
      <c r="E208" s="26" t="str">
        <f>IF(NOT(ISBLANK(A208)),VLOOKUP(A208,Listados!$A$3:$D$1252,2,FALSE),"")</f>
        <v/>
      </c>
      <c r="F208" s="26" t="str">
        <f>IF(NOT(ISBLANK(A208)),VLOOKUP(A208,Listados!$A$3:$D$1252,4,FALSE),"")</f>
        <v/>
      </c>
      <c r="G208" s="5" t="str">
        <f t="shared" ref="G208:G264" si="10">IF(ISERROR(E208),"El código de ciudad no es válido",IF(AND(NOT(ISNUMBER(SUM(B208:D208))),NOT(A208="")),"Escriba la muestra para esta ciudad",""))</f>
        <v/>
      </c>
      <c r="H208" s="8">
        <f t="shared" ref="H208:H264" si="11">IF(NOT(G208=""),1,0)</f>
        <v>0</v>
      </c>
      <c r="I208" s="4" t="str">
        <f t="shared" ref="I208:I264" si="12">_xlfn.CONCAT(IF(AND(NOT(A208=""),ISNUMBER(B208)),"EXEC [dbo].[IQ_InsertarMuestra_WORK] "&amp;A208&amp;", "&amp;B208&amp;", 30, "&amp;$I$8&amp;", "&amp;$I$11&amp;", "&amp;$I$10&amp;", "&amp;$I$9&amp;";",""),IF(AND(NOT(A208=""),ISNUMBER(C208)),"EXEC [dbo].[IQ_InsertarMuestra_WORK] "&amp;A208&amp;", "&amp;C208&amp;", 20, "&amp;$I$8&amp;", "&amp;$I$11&amp;", "&amp;$I$10&amp;", "&amp;$I$9&amp;";",""),IF(AND(NOT(A208=""),ISNUMBER(D208)),"EXEC [dbo].[IQ_InsertarMuestra_WORK] "&amp;A208&amp;", "&amp;D208&amp;", 10, "&amp;$I$8&amp;", "&amp;$I$11&amp;", "&amp;$I$10&amp;", "&amp;$I$9&amp;";",""))</f>
        <v/>
      </c>
    </row>
    <row r="209" spans="1:9" x14ac:dyDescent="0.2">
      <c r="A209" s="25"/>
      <c r="B209" s="25"/>
      <c r="C209" s="25"/>
      <c r="D209" s="25"/>
      <c r="E209" s="26" t="str">
        <f>IF(NOT(ISBLANK(A209)),VLOOKUP(A209,Listados!$A$3:$D$1252,2,FALSE),"")</f>
        <v/>
      </c>
      <c r="F209" s="26" t="str">
        <f>IF(NOT(ISBLANK(A209)),VLOOKUP(A209,Listados!$A$3:$D$1252,4,FALSE),"")</f>
        <v/>
      </c>
      <c r="G209" s="5" t="str">
        <f t="shared" si="10"/>
        <v/>
      </c>
      <c r="H209" s="8">
        <f t="shared" si="11"/>
        <v>0</v>
      </c>
      <c r="I209" s="4" t="str">
        <f t="shared" si="12"/>
        <v/>
      </c>
    </row>
    <row r="210" spans="1:9" x14ac:dyDescent="0.2">
      <c r="A210" s="25"/>
      <c r="B210" s="25"/>
      <c r="C210" s="25"/>
      <c r="D210" s="25"/>
      <c r="E210" s="26" t="str">
        <f>IF(NOT(ISBLANK(A210)),VLOOKUP(A210,Listados!$A$3:$D$1252,2,FALSE),"")</f>
        <v/>
      </c>
      <c r="F210" s="26" t="str">
        <f>IF(NOT(ISBLANK(A210)),VLOOKUP(A210,Listados!$A$3:$D$1252,4,FALSE),"")</f>
        <v/>
      </c>
      <c r="G210" s="5" t="str">
        <f t="shared" si="10"/>
        <v/>
      </c>
      <c r="H210" s="8">
        <f t="shared" si="11"/>
        <v>0</v>
      </c>
      <c r="I210" s="4" t="str">
        <f t="shared" si="12"/>
        <v/>
      </c>
    </row>
    <row r="211" spans="1:9" x14ac:dyDescent="0.2">
      <c r="A211" s="25"/>
      <c r="B211" s="25"/>
      <c r="C211" s="25"/>
      <c r="D211" s="25"/>
      <c r="E211" s="26" t="str">
        <f>IF(NOT(ISBLANK(A211)),VLOOKUP(A211,Listados!$A$3:$D$1252,2,FALSE),"")</f>
        <v/>
      </c>
      <c r="F211" s="26" t="str">
        <f>IF(NOT(ISBLANK(A211)),VLOOKUP(A211,Listados!$A$3:$D$1252,4,FALSE),"")</f>
        <v/>
      </c>
      <c r="G211" s="5" t="str">
        <f t="shared" si="10"/>
        <v/>
      </c>
      <c r="H211" s="8">
        <f t="shared" si="11"/>
        <v>0</v>
      </c>
      <c r="I211" s="4" t="str">
        <f t="shared" si="12"/>
        <v/>
      </c>
    </row>
    <row r="212" spans="1:9" x14ac:dyDescent="0.2">
      <c r="A212" s="25"/>
      <c r="B212" s="25"/>
      <c r="C212" s="25"/>
      <c r="D212" s="25"/>
      <c r="E212" s="26" t="str">
        <f>IF(NOT(ISBLANK(A212)),VLOOKUP(A212,Listados!$A$3:$D$1252,2,FALSE),"")</f>
        <v/>
      </c>
      <c r="F212" s="26" t="str">
        <f>IF(NOT(ISBLANK(A212)),VLOOKUP(A212,Listados!$A$3:$D$1252,4,FALSE),"")</f>
        <v/>
      </c>
      <c r="G212" s="5" t="str">
        <f t="shared" si="10"/>
        <v/>
      </c>
      <c r="H212" s="8">
        <f t="shared" si="11"/>
        <v>0</v>
      </c>
      <c r="I212" s="4" t="str">
        <f t="shared" si="12"/>
        <v/>
      </c>
    </row>
    <row r="213" spans="1:9" x14ac:dyDescent="0.2">
      <c r="A213" s="25"/>
      <c r="B213" s="25"/>
      <c r="C213" s="25"/>
      <c r="D213" s="25"/>
      <c r="E213" s="26" t="str">
        <f>IF(NOT(ISBLANK(A213)),VLOOKUP(A213,Listados!$A$3:$D$1252,2,FALSE),"")</f>
        <v/>
      </c>
      <c r="F213" s="26" t="str">
        <f>IF(NOT(ISBLANK(A213)),VLOOKUP(A213,Listados!$A$3:$D$1252,4,FALSE),"")</f>
        <v/>
      </c>
      <c r="G213" s="5" t="str">
        <f t="shared" si="10"/>
        <v/>
      </c>
      <c r="H213" s="8">
        <f t="shared" si="11"/>
        <v>0</v>
      </c>
      <c r="I213" s="4" t="str">
        <f t="shared" si="12"/>
        <v/>
      </c>
    </row>
    <row r="214" spans="1:9" x14ac:dyDescent="0.2">
      <c r="A214" s="25"/>
      <c r="B214" s="25"/>
      <c r="C214" s="25"/>
      <c r="D214" s="25"/>
      <c r="E214" s="26" t="str">
        <f>IF(NOT(ISBLANK(A214)),VLOOKUP(A214,Listados!$A$3:$D$1252,2,FALSE),"")</f>
        <v/>
      </c>
      <c r="F214" s="26" t="str">
        <f>IF(NOT(ISBLANK(A214)),VLOOKUP(A214,Listados!$A$3:$D$1252,4,FALSE),"")</f>
        <v/>
      </c>
      <c r="G214" s="5" t="str">
        <f t="shared" si="10"/>
        <v/>
      </c>
      <c r="H214" s="8">
        <f t="shared" si="11"/>
        <v>0</v>
      </c>
      <c r="I214" s="4" t="str">
        <f t="shared" si="12"/>
        <v/>
      </c>
    </row>
    <row r="215" spans="1:9" x14ac:dyDescent="0.2">
      <c r="A215" s="25"/>
      <c r="B215" s="25"/>
      <c r="C215" s="25"/>
      <c r="D215" s="25"/>
      <c r="E215" s="26" t="str">
        <f>IF(NOT(ISBLANK(A215)),VLOOKUP(A215,Listados!$A$3:$D$1252,2,FALSE),"")</f>
        <v/>
      </c>
      <c r="F215" s="26" t="str">
        <f>IF(NOT(ISBLANK(A215)),VLOOKUP(A215,Listados!$A$3:$D$1252,4,FALSE),"")</f>
        <v/>
      </c>
      <c r="G215" s="5" t="str">
        <f t="shared" si="10"/>
        <v/>
      </c>
      <c r="H215" s="8">
        <f t="shared" si="11"/>
        <v>0</v>
      </c>
      <c r="I215" s="4" t="str">
        <f t="shared" si="12"/>
        <v/>
      </c>
    </row>
    <row r="216" spans="1:9" x14ac:dyDescent="0.2">
      <c r="A216" s="25"/>
      <c r="B216" s="25"/>
      <c r="C216" s="25"/>
      <c r="D216" s="25"/>
      <c r="E216" s="26" t="str">
        <f>IF(NOT(ISBLANK(A216)),VLOOKUP(A216,Listados!$A$3:$D$1252,2,FALSE),"")</f>
        <v/>
      </c>
      <c r="F216" s="26" t="str">
        <f>IF(NOT(ISBLANK(A216)),VLOOKUP(A216,Listados!$A$3:$D$1252,4,FALSE),"")</f>
        <v/>
      </c>
      <c r="G216" s="5" t="str">
        <f t="shared" si="10"/>
        <v/>
      </c>
      <c r="H216" s="8">
        <f t="shared" si="11"/>
        <v>0</v>
      </c>
      <c r="I216" s="4" t="str">
        <f t="shared" si="12"/>
        <v/>
      </c>
    </row>
    <row r="217" spans="1:9" x14ac:dyDescent="0.2">
      <c r="A217" s="25"/>
      <c r="B217" s="25"/>
      <c r="C217" s="25"/>
      <c r="D217" s="25"/>
      <c r="E217" s="26" t="str">
        <f>IF(NOT(ISBLANK(A217)),VLOOKUP(A217,Listados!$A$3:$D$1252,2,FALSE),"")</f>
        <v/>
      </c>
      <c r="F217" s="26" t="str">
        <f>IF(NOT(ISBLANK(A217)),VLOOKUP(A217,Listados!$A$3:$D$1252,4,FALSE),"")</f>
        <v/>
      </c>
      <c r="G217" s="5" t="str">
        <f t="shared" si="10"/>
        <v/>
      </c>
      <c r="H217" s="8">
        <f t="shared" si="11"/>
        <v>0</v>
      </c>
      <c r="I217" s="4" t="str">
        <f t="shared" si="12"/>
        <v/>
      </c>
    </row>
    <row r="218" spans="1:9" x14ac:dyDescent="0.2">
      <c r="A218" s="25"/>
      <c r="B218" s="25"/>
      <c r="C218" s="25"/>
      <c r="D218" s="25"/>
      <c r="E218" s="26" t="str">
        <f>IF(NOT(ISBLANK(A218)),VLOOKUP(A218,Listados!$A$3:$D$1252,2,FALSE),"")</f>
        <v/>
      </c>
      <c r="F218" s="26" t="str">
        <f>IF(NOT(ISBLANK(A218)),VLOOKUP(A218,Listados!$A$3:$D$1252,4,FALSE),"")</f>
        <v/>
      </c>
      <c r="G218" s="5" t="str">
        <f t="shared" si="10"/>
        <v/>
      </c>
      <c r="H218" s="8">
        <f t="shared" si="11"/>
        <v>0</v>
      </c>
      <c r="I218" s="4" t="str">
        <f t="shared" si="12"/>
        <v/>
      </c>
    </row>
    <row r="219" spans="1:9" x14ac:dyDescent="0.2">
      <c r="A219" s="25"/>
      <c r="B219" s="25"/>
      <c r="C219" s="25"/>
      <c r="D219" s="25"/>
      <c r="E219" s="26" t="str">
        <f>IF(NOT(ISBLANK(A219)),VLOOKUP(A219,Listados!$A$3:$D$1252,2,FALSE),"")</f>
        <v/>
      </c>
      <c r="F219" s="26" t="str">
        <f>IF(NOT(ISBLANK(A219)),VLOOKUP(A219,Listados!$A$3:$D$1252,4,FALSE),"")</f>
        <v/>
      </c>
      <c r="G219" s="5" t="str">
        <f t="shared" si="10"/>
        <v/>
      </c>
      <c r="H219" s="8">
        <f t="shared" si="11"/>
        <v>0</v>
      </c>
      <c r="I219" s="4" t="str">
        <f t="shared" si="12"/>
        <v/>
      </c>
    </row>
    <row r="220" spans="1:9" x14ac:dyDescent="0.2">
      <c r="A220" s="25"/>
      <c r="B220" s="25"/>
      <c r="C220" s="25"/>
      <c r="D220" s="25"/>
      <c r="E220" s="26" t="str">
        <f>IF(NOT(ISBLANK(A220)),VLOOKUP(A220,Listados!$A$3:$D$1252,2,FALSE),"")</f>
        <v/>
      </c>
      <c r="F220" s="26" t="str">
        <f>IF(NOT(ISBLANK(A220)),VLOOKUP(A220,Listados!$A$3:$D$1252,4,FALSE),"")</f>
        <v/>
      </c>
      <c r="G220" s="5" t="str">
        <f t="shared" si="10"/>
        <v/>
      </c>
      <c r="H220" s="8">
        <f t="shared" si="11"/>
        <v>0</v>
      </c>
      <c r="I220" s="4" t="str">
        <f t="shared" si="12"/>
        <v/>
      </c>
    </row>
    <row r="221" spans="1:9" x14ac:dyDescent="0.2">
      <c r="A221" s="25"/>
      <c r="B221" s="25"/>
      <c r="C221" s="25"/>
      <c r="D221" s="25"/>
      <c r="E221" s="26" t="str">
        <f>IF(NOT(ISBLANK(A221)),VLOOKUP(A221,Listados!$A$3:$D$1252,2,FALSE),"")</f>
        <v/>
      </c>
      <c r="F221" s="26" t="str">
        <f>IF(NOT(ISBLANK(A221)),VLOOKUP(A221,Listados!$A$3:$D$1252,4,FALSE),"")</f>
        <v/>
      </c>
      <c r="G221" s="5" t="str">
        <f t="shared" si="10"/>
        <v/>
      </c>
      <c r="H221" s="8">
        <f t="shared" si="11"/>
        <v>0</v>
      </c>
      <c r="I221" s="4" t="str">
        <f t="shared" si="12"/>
        <v/>
      </c>
    </row>
    <row r="222" spans="1:9" x14ac:dyDescent="0.2">
      <c r="A222" s="25"/>
      <c r="B222" s="25"/>
      <c r="C222" s="25"/>
      <c r="D222" s="25"/>
      <c r="E222" s="26" t="str">
        <f>IF(NOT(ISBLANK(A222)),VLOOKUP(A222,Listados!$A$3:$D$1252,2,FALSE),"")</f>
        <v/>
      </c>
      <c r="F222" s="26" t="str">
        <f>IF(NOT(ISBLANK(A222)),VLOOKUP(A222,Listados!$A$3:$D$1252,4,FALSE),"")</f>
        <v/>
      </c>
      <c r="G222" s="5" t="str">
        <f t="shared" si="10"/>
        <v/>
      </c>
      <c r="H222" s="8">
        <f t="shared" si="11"/>
        <v>0</v>
      </c>
      <c r="I222" s="4" t="str">
        <f t="shared" si="12"/>
        <v/>
      </c>
    </row>
    <row r="223" spans="1:9" x14ac:dyDescent="0.2">
      <c r="A223" s="25"/>
      <c r="B223" s="25"/>
      <c r="C223" s="25"/>
      <c r="D223" s="25"/>
      <c r="E223" s="26" t="str">
        <f>IF(NOT(ISBLANK(A223)),VLOOKUP(A223,Listados!$A$3:$D$1252,2,FALSE),"")</f>
        <v/>
      </c>
      <c r="F223" s="26" t="str">
        <f>IF(NOT(ISBLANK(A223)),VLOOKUP(A223,Listados!$A$3:$D$1252,4,FALSE),"")</f>
        <v/>
      </c>
      <c r="G223" s="5" t="str">
        <f t="shared" si="10"/>
        <v/>
      </c>
      <c r="H223" s="8">
        <f t="shared" si="11"/>
        <v>0</v>
      </c>
      <c r="I223" s="4" t="str">
        <f t="shared" si="12"/>
        <v/>
      </c>
    </row>
    <row r="224" spans="1:9" x14ac:dyDescent="0.2">
      <c r="A224" s="25"/>
      <c r="B224" s="25"/>
      <c r="C224" s="25"/>
      <c r="D224" s="25"/>
      <c r="E224" s="26" t="str">
        <f>IF(NOT(ISBLANK(A224)),VLOOKUP(A224,Listados!$A$3:$D$1252,2,FALSE),"")</f>
        <v/>
      </c>
      <c r="F224" s="26" t="str">
        <f>IF(NOT(ISBLANK(A224)),VLOOKUP(A224,Listados!$A$3:$D$1252,4,FALSE),"")</f>
        <v/>
      </c>
      <c r="G224" s="5" t="str">
        <f t="shared" si="10"/>
        <v/>
      </c>
      <c r="H224" s="8">
        <f t="shared" si="11"/>
        <v>0</v>
      </c>
      <c r="I224" s="4" t="str">
        <f t="shared" si="12"/>
        <v/>
      </c>
    </row>
    <row r="225" spans="1:9" x14ac:dyDescent="0.2">
      <c r="A225" s="25"/>
      <c r="B225" s="25"/>
      <c r="C225" s="25"/>
      <c r="D225" s="25"/>
      <c r="E225" s="26" t="str">
        <f>IF(NOT(ISBLANK(A225)),VLOOKUP(A225,Listados!$A$3:$D$1252,2,FALSE),"")</f>
        <v/>
      </c>
      <c r="F225" s="26" t="str">
        <f>IF(NOT(ISBLANK(A225)),VLOOKUP(A225,Listados!$A$3:$D$1252,4,FALSE),"")</f>
        <v/>
      </c>
      <c r="G225" s="5" t="str">
        <f t="shared" si="10"/>
        <v/>
      </c>
      <c r="H225" s="8">
        <f t="shared" si="11"/>
        <v>0</v>
      </c>
      <c r="I225" s="4" t="str">
        <f t="shared" si="12"/>
        <v/>
      </c>
    </row>
    <row r="226" spans="1:9" x14ac:dyDescent="0.2">
      <c r="A226" s="25"/>
      <c r="B226" s="25"/>
      <c r="C226" s="25"/>
      <c r="D226" s="25"/>
      <c r="E226" s="26" t="str">
        <f>IF(NOT(ISBLANK(A226)),VLOOKUP(A226,Listados!$A$3:$D$1252,2,FALSE),"")</f>
        <v/>
      </c>
      <c r="F226" s="26" t="str">
        <f>IF(NOT(ISBLANK(A226)),VLOOKUP(A226,Listados!$A$3:$D$1252,4,FALSE),"")</f>
        <v/>
      </c>
      <c r="G226" s="5" t="str">
        <f t="shared" si="10"/>
        <v/>
      </c>
      <c r="H226" s="8">
        <f t="shared" si="11"/>
        <v>0</v>
      </c>
      <c r="I226" s="4" t="str">
        <f t="shared" si="12"/>
        <v/>
      </c>
    </row>
    <row r="227" spans="1:9" x14ac:dyDescent="0.2">
      <c r="A227" s="25"/>
      <c r="B227" s="25"/>
      <c r="C227" s="25"/>
      <c r="D227" s="25"/>
      <c r="E227" s="26" t="str">
        <f>IF(NOT(ISBLANK(A227)),VLOOKUP(A227,Listados!$A$3:$D$1252,2,FALSE),"")</f>
        <v/>
      </c>
      <c r="F227" s="26" t="str">
        <f>IF(NOT(ISBLANK(A227)),VLOOKUP(A227,Listados!$A$3:$D$1252,4,FALSE),"")</f>
        <v/>
      </c>
      <c r="G227" s="5" t="str">
        <f t="shared" si="10"/>
        <v/>
      </c>
      <c r="H227" s="8">
        <f t="shared" si="11"/>
        <v>0</v>
      </c>
      <c r="I227" s="4" t="str">
        <f t="shared" si="12"/>
        <v/>
      </c>
    </row>
    <row r="228" spans="1:9" x14ac:dyDescent="0.2">
      <c r="A228" s="25"/>
      <c r="B228" s="25"/>
      <c r="C228" s="25"/>
      <c r="D228" s="25"/>
      <c r="E228" s="26" t="str">
        <f>IF(NOT(ISBLANK(A228)),VLOOKUP(A228,Listados!$A$3:$D$1252,2,FALSE),"")</f>
        <v/>
      </c>
      <c r="F228" s="26" t="str">
        <f>IF(NOT(ISBLANK(A228)),VLOOKUP(A228,Listados!$A$3:$D$1252,4,FALSE),"")</f>
        <v/>
      </c>
      <c r="G228" s="5" t="str">
        <f t="shared" si="10"/>
        <v/>
      </c>
      <c r="H228" s="8">
        <f t="shared" si="11"/>
        <v>0</v>
      </c>
      <c r="I228" s="4" t="str">
        <f t="shared" si="12"/>
        <v/>
      </c>
    </row>
    <row r="229" spans="1:9" x14ac:dyDescent="0.2">
      <c r="A229" s="25"/>
      <c r="B229" s="25"/>
      <c r="C229" s="25"/>
      <c r="D229" s="25"/>
      <c r="E229" s="26" t="str">
        <f>IF(NOT(ISBLANK(A229)),VLOOKUP(A229,Listados!$A$3:$D$1252,2,FALSE),"")</f>
        <v/>
      </c>
      <c r="F229" s="26" t="str">
        <f>IF(NOT(ISBLANK(A229)),VLOOKUP(A229,Listados!$A$3:$D$1252,4,FALSE),"")</f>
        <v/>
      </c>
      <c r="G229" s="5" t="str">
        <f t="shared" si="10"/>
        <v/>
      </c>
      <c r="H229" s="8">
        <f t="shared" si="11"/>
        <v>0</v>
      </c>
      <c r="I229" s="4" t="str">
        <f t="shared" si="12"/>
        <v/>
      </c>
    </row>
    <row r="230" spans="1:9" x14ac:dyDescent="0.2">
      <c r="A230" s="25"/>
      <c r="B230" s="25"/>
      <c r="C230" s="25"/>
      <c r="D230" s="25"/>
      <c r="E230" s="26" t="str">
        <f>IF(NOT(ISBLANK(A230)),VLOOKUP(A230,Listados!$A$3:$D$1252,2,FALSE),"")</f>
        <v/>
      </c>
      <c r="F230" s="26" t="str">
        <f>IF(NOT(ISBLANK(A230)),VLOOKUP(A230,Listados!$A$3:$D$1252,4,FALSE),"")</f>
        <v/>
      </c>
      <c r="G230" s="5" t="str">
        <f t="shared" si="10"/>
        <v/>
      </c>
      <c r="H230" s="8">
        <f t="shared" si="11"/>
        <v>0</v>
      </c>
      <c r="I230" s="4" t="str">
        <f t="shared" si="12"/>
        <v/>
      </c>
    </row>
    <row r="231" spans="1:9" x14ac:dyDescent="0.2">
      <c r="A231" s="25"/>
      <c r="B231" s="25"/>
      <c r="C231" s="25"/>
      <c r="D231" s="25"/>
      <c r="E231" s="26" t="str">
        <f>IF(NOT(ISBLANK(A231)),VLOOKUP(A231,Listados!$A$3:$D$1252,2,FALSE),"")</f>
        <v/>
      </c>
      <c r="F231" s="26" t="str">
        <f>IF(NOT(ISBLANK(A231)),VLOOKUP(A231,Listados!$A$3:$D$1252,4,FALSE),"")</f>
        <v/>
      </c>
      <c r="G231" s="5" t="str">
        <f t="shared" si="10"/>
        <v/>
      </c>
      <c r="H231" s="8">
        <f t="shared" si="11"/>
        <v>0</v>
      </c>
      <c r="I231" s="4" t="str">
        <f t="shared" si="12"/>
        <v/>
      </c>
    </row>
    <row r="232" spans="1:9" x14ac:dyDescent="0.2">
      <c r="A232" s="25"/>
      <c r="B232" s="25"/>
      <c r="C232" s="25"/>
      <c r="D232" s="25"/>
      <c r="E232" s="26" t="str">
        <f>IF(NOT(ISBLANK(A232)),VLOOKUP(A232,Listados!$A$3:$D$1252,2,FALSE),"")</f>
        <v/>
      </c>
      <c r="F232" s="26" t="str">
        <f>IF(NOT(ISBLANK(A232)),VLOOKUP(A232,Listados!$A$3:$D$1252,4,FALSE),"")</f>
        <v/>
      </c>
      <c r="G232" s="5" t="str">
        <f t="shared" si="10"/>
        <v/>
      </c>
      <c r="H232" s="8">
        <f t="shared" si="11"/>
        <v>0</v>
      </c>
      <c r="I232" s="4" t="str">
        <f t="shared" si="12"/>
        <v/>
      </c>
    </row>
    <row r="233" spans="1:9" x14ac:dyDescent="0.2">
      <c r="A233" s="25"/>
      <c r="B233" s="25"/>
      <c r="C233" s="25"/>
      <c r="D233" s="25"/>
      <c r="E233" s="26" t="str">
        <f>IF(NOT(ISBLANK(A233)),VLOOKUP(A233,Listados!$A$3:$D$1252,2,FALSE),"")</f>
        <v/>
      </c>
      <c r="F233" s="26" t="str">
        <f>IF(NOT(ISBLANK(A233)),VLOOKUP(A233,Listados!$A$3:$D$1252,4,FALSE),"")</f>
        <v/>
      </c>
      <c r="G233" s="5" t="str">
        <f t="shared" si="10"/>
        <v/>
      </c>
      <c r="H233" s="8">
        <f t="shared" si="11"/>
        <v>0</v>
      </c>
      <c r="I233" s="4" t="str">
        <f t="shared" si="12"/>
        <v/>
      </c>
    </row>
    <row r="234" spans="1:9" x14ac:dyDescent="0.2">
      <c r="A234" s="25"/>
      <c r="B234" s="25"/>
      <c r="C234" s="25"/>
      <c r="D234" s="25"/>
      <c r="E234" s="26" t="str">
        <f>IF(NOT(ISBLANK(A234)),VLOOKUP(A234,Listados!$A$3:$D$1252,2,FALSE),"")</f>
        <v/>
      </c>
      <c r="F234" s="26" t="str">
        <f>IF(NOT(ISBLANK(A234)),VLOOKUP(A234,Listados!$A$3:$D$1252,4,FALSE),"")</f>
        <v/>
      </c>
      <c r="G234" s="5" t="str">
        <f t="shared" si="10"/>
        <v/>
      </c>
      <c r="H234" s="8">
        <f t="shared" si="11"/>
        <v>0</v>
      </c>
      <c r="I234" s="4" t="str">
        <f t="shared" si="12"/>
        <v/>
      </c>
    </row>
    <row r="235" spans="1:9" x14ac:dyDescent="0.2">
      <c r="A235" s="25"/>
      <c r="B235" s="25"/>
      <c r="C235" s="25"/>
      <c r="D235" s="25"/>
      <c r="E235" s="26" t="str">
        <f>IF(NOT(ISBLANK(A235)),VLOOKUP(A235,Listados!$A$3:$D$1252,2,FALSE),"")</f>
        <v/>
      </c>
      <c r="F235" s="26" t="str">
        <f>IF(NOT(ISBLANK(A235)),VLOOKUP(A235,Listados!$A$3:$D$1252,4,FALSE),"")</f>
        <v/>
      </c>
      <c r="G235" s="5" t="str">
        <f t="shared" si="10"/>
        <v/>
      </c>
      <c r="H235" s="8">
        <f t="shared" si="11"/>
        <v>0</v>
      </c>
      <c r="I235" s="4" t="str">
        <f t="shared" si="12"/>
        <v/>
      </c>
    </row>
    <row r="236" spans="1:9" x14ac:dyDescent="0.2">
      <c r="A236" s="25"/>
      <c r="B236" s="25"/>
      <c r="C236" s="25"/>
      <c r="D236" s="25"/>
      <c r="E236" s="26" t="str">
        <f>IF(NOT(ISBLANK(A236)),VLOOKUP(A236,Listados!$A$3:$D$1252,2,FALSE),"")</f>
        <v/>
      </c>
      <c r="F236" s="26" t="str">
        <f>IF(NOT(ISBLANK(A236)),VLOOKUP(A236,Listados!$A$3:$D$1252,4,FALSE),"")</f>
        <v/>
      </c>
      <c r="G236" s="5" t="str">
        <f t="shared" si="10"/>
        <v/>
      </c>
      <c r="H236" s="8">
        <f t="shared" si="11"/>
        <v>0</v>
      </c>
      <c r="I236" s="4" t="str">
        <f t="shared" si="12"/>
        <v/>
      </c>
    </row>
    <row r="237" spans="1:9" x14ac:dyDescent="0.2">
      <c r="A237" s="25"/>
      <c r="B237" s="25"/>
      <c r="C237" s="25"/>
      <c r="D237" s="25"/>
      <c r="E237" s="26" t="str">
        <f>IF(NOT(ISBLANK(A237)),VLOOKUP(A237,Listados!$A$3:$D$1252,2,FALSE),"")</f>
        <v/>
      </c>
      <c r="F237" s="26" t="str">
        <f>IF(NOT(ISBLANK(A237)),VLOOKUP(A237,Listados!$A$3:$D$1252,4,FALSE),"")</f>
        <v/>
      </c>
      <c r="G237" s="5" t="str">
        <f t="shared" si="10"/>
        <v/>
      </c>
      <c r="H237" s="8">
        <f t="shared" si="11"/>
        <v>0</v>
      </c>
      <c r="I237" s="4" t="str">
        <f t="shared" si="12"/>
        <v/>
      </c>
    </row>
    <row r="238" spans="1:9" x14ac:dyDescent="0.2">
      <c r="A238" s="25"/>
      <c r="B238" s="25"/>
      <c r="C238" s="25"/>
      <c r="D238" s="25"/>
      <c r="E238" s="26" t="str">
        <f>IF(NOT(ISBLANK(A238)),VLOOKUP(A238,Listados!$A$3:$D$1252,2,FALSE),"")</f>
        <v/>
      </c>
      <c r="F238" s="26" t="str">
        <f>IF(NOT(ISBLANK(A238)),VLOOKUP(A238,Listados!$A$3:$D$1252,4,FALSE),"")</f>
        <v/>
      </c>
      <c r="G238" s="5" t="str">
        <f t="shared" si="10"/>
        <v/>
      </c>
      <c r="H238" s="8">
        <f t="shared" si="11"/>
        <v>0</v>
      </c>
      <c r="I238" s="4" t="str">
        <f t="shared" si="12"/>
        <v/>
      </c>
    </row>
    <row r="239" spans="1:9" x14ac:dyDescent="0.2">
      <c r="A239" s="25"/>
      <c r="B239" s="25"/>
      <c r="C239" s="25"/>
      <c r="D239" s="25"/>
      <c r="E239" s="26" t="str">
        <f>IF(NOT(ISBLANK(A239)),VLOOKUP(A239,Listados!$A$3:$D$1252,2,FALSE),"")</f>
        <v/>
      </c>
      <c r="F239" s="26" t="str">
        <f>IF(NOT(ISBLANK(A239)),VLOOKUP(A239,Listados!$A$3:$D$1252,4,FALSE),"")</f>
        <v/>
      </c>
      <c r="G239" s="5" t="str">
        <f t="shared" si="10"/>
        <v/>
      </c>
      <c r="H239" s="8">
        <f t="shared" si="11"/>
        <v>0</v>
      </c>
      <c r="I239" s="4" t="str">
        <f t="shared" si="12"/>
        <v/>
      </c>
    </row>
    <row r="240" spans="1:9" x14ac:dyDescent="0.2">
      <c r="A240" s="25"/>
      <c r="B240" s="25"/>
      <c r="C240" s="25"/>
      <c r="D240" s="25"/>
      <c r="E240" s="26" t="str">
        <f>IF(NOT(ISBLANK(A240)),VLOOKUP(A240,Listados!$A$3:$D$1252,2,FALSE),"")</f>
        <v/>
      </c>
      <c r="F240" s="26" t="str">
        <f>IF(NOT(ISBLANK(A240)),VLOOKUP(A240,Listados!$A$3:$D$1252,4,FALSE),"")</f>
        <v/>
      </c>
      <c r="G240" s="5" t="str">
        <f t="shared" si="10"/>
        <v/>
      </c>
      <c r="H240" s="8">
        <f t="shared" si="11"/>
        <v>0</v>
      </c>
      <c r="I240" s="4" t="str">
        <f t="shared" si="12"/>
        <v/>
      </c>
    </row>
    <row r="241" spans="1:9" x14ac:dyDescent="0.2">
      <c r="A241" s="25"/>
      <c r="B241" s="25"/>
      <c r="C241" s="25"/>
      <c r="D241" s="25"/>
      <c r="E241" s="26" t="str">
        <f>IF(NOT(ISBLANK(A241)),VLOOKUP(A241,Listados!$A$3:$D$1252,2,FALSE),"")</f>
        <v/>
      </c>
      <c r="F241" s="26" t="str">
        <f>IF(NOT(ISBLANK(A241)),VLOOKUP(A241,Listados!$A$3:$D$1252,4,FALSE),"")</f>
        <v/>
      </c>
      <c r="G241" s="5" t="str">
        <f t="shared" si="10"/>
        <v/>
      </c>
      <c r="H241" s="8">
        <f t="shared" si="11"/>
        <v>0</v>
      </c>
      <c r="I241" s="4" t="str">
        <f t="shared" si="12"/>
        <v/>
      </c>
    </row>
    <row r="242" spans="1:9" x14ac:dyDescent="0.2">
      <c r="A242" s="25"/>
      <c r="B242" s="25"/>
      <c r="C242" s="25"/>
      <c r="D242" s="25"/>
      <c r="E242" s="26" t="str">
        <f>IF(NOT(ISBLANK(A242)),VLOOKUP(A242,Listados!$A$3:$D$1252,2,FALSE),"")</f>
        <v/>
      </c>
      <c r="F242" s="26" t="str">
        <f>IF(NOT(ISBLANK(A242)),VLOOKUP(A242,Listados!$A$3:$D$1252,4,FALSE),"")</f>
        <v/>
      </c>
      <c r="G242" s="5" t="str">
        <f t="shared" si="10"/>
        <v/>
      </c>
      <c r="H242" s="8">
        <f t="shared" si="11"/>
        <v>0</v>
      </c>
      <c r="I242" s="4" t="str">
        <f t="shared" si="12"/>
        <v/>
      </c>
    </row>
    <row r="243" spans="1:9" x14ac:dyDescent="0.2">
      <c r="A243" s="25"/>
      <c r="B243" s="25"/>
      <c r="C243" s="25"/>
      <c r="D243" s="25"/>
      <c r="E243" s="26" t="str">
        <f>IF(NOT(ISBLANK(A243)),VLOOKUP(A243,Listados!$A$3:$D$1252,2,FALSE),"")</f>
        <v/>
      </c>
      <c r="F243" s="26" t="str">
        <f>IF(NOT(ISBLANK(A243)),VLOOKUP(A243,Listados!$A$3:$D$1252,4,FALSE),"")</f>
        <v/>
      </c>
      <c r="G243" s="5" t="str">
        <f t="shared" si="10"/>
        <v/>
      </c>
      <c r="H243" s="8">
        <f t="shared" si="11"/>
        <v>0</v>
      </c>
      <c r="I243" s="4" t="str">
        <f t="shared" si="12"/>
        <v/>
      </c>
    </row>
    <row r="244" spans="1:9" x14ac:dyDescent="0.2">
      <c r="A244" s="25"/>
      <c r="B244" s="25"/>
      <c r="C244" s="25"/>
      <c r="D244" s="25"/>
      <c r="E244" s="26" t="str">
        <f>IF(NOT(ISBLANK(A244)),VLOOKUP(A244,Listados!$A$3:$D$1252,2,FALSE),"")</f>
        <v/>
      </c>
      <c r="F244" s="26" t="str">
        <f>IF(NOT(ISBLANK(A244)),VLOOKUP(A244,Listados!$A$3:$D$1252,4,FALSE),"")</f>
        <v/>
      </c>
      <c r="G244" s="5" t="str">
        <f t="shared" si="10"/>
        <v/>
      </c>
      <c r="H244" s="8">
        <f t="shared" si="11"/>
        <v>0</v>
      </c>
      <c r="I244" s="4" t="str">
        <f t="shared" si="12"/>
        <v/>
      </c>
    </row>
    <row r="245" spans="1:9" x14ac:dyDescent="0.2">
      <c r="A245" s="25"/>
      <c r="B245" s="25"/>
      <c r="C245" s="25"/>
      <c r="D245" s="25"/>
      <c r="E245" s="26" t="str">
        <f>IF(NOT(ISBLANK(A245)),VLOOKUP(A245,Listados!$A$3:$D$1252,2,FALSE),"")</f>
        <v/>
      </c>
      <c r="F245" s="26" t="str">
        <f>IF(NOT(ISBLANK(A245)),VLOOKUP(A245,Listados!$A$3:$D$1252,4,FALSE),"")</f>
        <v/>
      </c>
      <c r="G245" s="5" t="str">
        <f t="shared" si="10"/>
        <v/>
      </c>
      <c r="H245" s="8">
        <f t="shared" si="11"/>
        <v>0</v>
      </c>
      <c r="I245" s="4" t="str">
        <f t="shared" si="12"/>
        <v/>
      </c>
    </row>
    <row r="246" spans="1:9" x14ac:dyDescent="0.2">
      <c r="A246" s="25"/>
      <c r="B246" s="25"/>
      <c r="C246" s="25"/>
      <c r="D246" s="25"/>
      <c r="E246" s="26" t="str">
        <f>IF(NOT(ISBLANK(A246)),VLOOKUP(A246,Listados!$A$3:$D$1252,2,FALSE),"")</f>
        <v/>
      </c>
      <c r="F246" s="26" t="str">
        <f>IF(NOT(ISBLANK(A246)),VLOOKUP(A246,Listados!$A$3:$D$1252,4,FALSE),"")</f>
        <v/>
      </c>
      <c r="G246" s="5" t="str">
        <f t="shared" si="10"/>
        <v/>
      </c>
      <c r="H246" s="8">
        <f t="shared" si="11"/>
        <v>0</v>
      </c>
      <c r="I246" s="4" t="str">
        <f t="shared" si="12"/>
        <v/>
      </c>
    </row>
    <row r="247" spans="1:9" x14ac:dyDescent="0.2">
      <c r="A247" s="25"/>
      <c r="B247" s="25"/>
      <c r="C247" s="25"/>
      <c r="D247" s="25"/>
      <c r="E247" s="26" t="str">
        <f>IF(NOT(ISBLANK(A247)),VLOOKUP(A247,Listados!$A$3:$D$1252,2,FALSE),"")</f>
        <v/>
      </c>
      <c r="F247" s="26" t="str">
        <f>IF(NOT(ISBLANK(A247)),VLOOKUP(A247,Listados!$A$3:$D$1252,4,FALSE),"")</f>
        <v/>
      </c>
      <c r="G247" s="5" t="str">
        <f t="shared" si="10"/>
        <v/>
      </c>
      <c r="H247" s="8">
        <f t="shared" si="11"/>
        <v>0</v>
      </c>
      <c r="I247" s="4" t="str">
        <f t="shared" si="12"/>
        <v/>
      </c>
    </row>
    <row r="248" spans="1:9" x14ac:dyDescent="0.2">
      <c r="A248" s="25"/>
      <c r="B248" s="25"/>
      <c r="C248" s="25"/>
      <c r="D248" s="25"/>
      <c r="E248" s="26" t="str">
        <f>IF(NOT(ISBLANK(A248)),VLOOKUP(A248,Listados!$A$3:$D$1252,2,FALSE),"")</f>
        <v/>
      </c>
      <c r="F248" s="26" t="str">
        <f>IF(NOT(ISBLANK(A248)),VLOOKUP(A248,Listados!$A$3:$D$1252,4,FALSE),"")</f>
        <v/>
      </c>
      <c r="G248" s="5" t="str">
        <f t="shared" si="10"/>
        <v/>
      </c>
      <c r="H248" s="8">
        <f t="shared" si="11"/>
        <v>0</v>
      </c>
      <c r="I248" s="4" t="str">
        <f t="shared" si="12"/>
        <v/>
      </c>
    </row>
    <row r="249" spans="1:9" x14ac:dyDescent="0.2">
      <c r="A249" s="25"/>
      <c r="B249" s="25"/>
      <c r="C249" s="25"/>
      <c r="D249" s="25"/>
      <c r="E249" s="26" t="str">
        <f>IF(NOT(ISBLANK(A249)),VLOOKUP(A249,Listados!$A$3:$D$1252,2,FALSE),"")</f>
        <v/>
      </c>
      <c r="F249" s="26" t="str">
        <f>IF(NOT(ISBLANK(A249)),VLOOKUP(A249,Listados!$A$3:$D$1252,4,FALSE),"")</f>
        <v/>
      </c>
      <c r="G249" s="5" t="str">
        <f t="shared" si="10"/>
        <v/>
      </c>
      <c r="H249" s="8">
        <f t="shared" si="11"/>
        <v>0</v>
      </c>
      <c r="I249" s="4" t="str">
        <f t="shared" si="12"/>
        <v/>
      </c>
    </row>
    <row r="250" spans="1:9" x14ac:dyDescent="0.2">
      <c r="A250" s="25"/>
      <c r="B250" s="25"/>
      <c r="C250" s="25"/>
      <c r="D250" s="25"/>
      <c r="E250" s="26" t="str">
        <f>IF(NOT(ISBLANK(A250)),VLOOKUP(A250,Listados!$A$3:$D$1252,2,FALSE),"")</f>
        <v/>
      </c>
      <c r="F250" s="26" t="str">
        <f>IF(NOT(ISBLANK(A250)),VLOOKUP(A250,Listados!$A$3:$D$1252,4,FALSE),"")</f>
        <v/>
      </c>
      <c r="G250" s="5" t="str">
        <f t="shared" si="10"/>
        <v/>
      </c>
      <c r="H250" s="8">
        <f t="shared" si="11"/>
        <v>0</v>
      </c>
      <c r="I250" s="4" t="str">
        <f t="shared" si="12"/>
        <v/>
      </c>
    </row>
    <row r="251" spans="1:9" x14ac:dyDescent="0.2">
      <c r="A251" s="25"/>
      <c r="B251" s="25"/>
      <c r="C251" s="25"/>
      <c r="D251" s="25"/>
      <c r="E251" s="26" t="str">
        <f>IF(NOT(ISBLANK(A251)),VLOOKUP(A251,Listados!$A$3:$D$1252,2,FALSE),"")</f>
        <v/>
      </c>
      <c r="F251" s="26" t="str">
        <f>IF(NOT(ISBLANK(A251)),VLOOKUP(A251,Listados!$A$3:$D$1252,4,FALSE),"")</f>
        <v/>
      </c>
      <c r="G251" s="5" t="str">
        <f t="shared" si="10"/>
        <v/>
      </c>
      <c r="H251" s="8">
        <f t="shared" si="11"/>
        <v>0</v>
      </c>
      <c r="I251" s="4" t="str">
        <f t="shared" si="12"/>
        <v/>
      </c>
    </row>
    <row r="252" spans="1:9" x14ac:dyDescent="0.2">
      <c r="A252" s="25"/>
      <c r="B252" s="25"/>
      <c r="C252" s="25"/>
      <c r="D252" s="25"/>
      <c r="E252" s="26" t="str">
        <f>IF(NOT(ISBLANK(A252)),VLOOKUP(A252,Listados!$A$3:$D$1252,2,FALSE),"")</f>
        <v/>
      </c>
      <c r="F252" s="26" t="str">
        <f>IF(NOT(ISBLANK(A252)),VLOOKUP(A252,Listados!$A$3:$D$1252,4,FALSE),"")</f>
        <v/>
      </c>
      <c r="G252" s="5" t="str">
        <f t="shared" si="10"/>
        <v/>
      </c>
      <c r="H252" s="8">
        <f t="shared" si="11"/>
        <v>0</v>
      </c>
      <c r="I252" s="4" t="str">
        <f t="shared" si="12"/>
        <v/>
      </c>
    </row>
    <row r="253" spans="1:9" x14ac:dyDescent="0.2">
      <c r="A253" s="25"/>
      <c r="B253" s="25"/>
      <c r="C253" s="25"/>
      <c r="D253" s="25"/>
      <c r="E253" s="26" t="str">
        <f>IF(NOT(ISBLANK(A253)),VLOOKUP(A253,Listados!$A$3:$D$1252,2,FALSE),"")</f>
        <v/>
      </c>
      <c r="F253" s="26" t="str">
        <f>IF(NOT(ISBLANK(A253)),VLOOKUP(A253,Listados!$A$3:$D$1252,4,FALSE),"")</f>
        <v/>
      </c>
      <c r="G253" s="5" t="str">
        <f t="shared" si="10"/>
        <v/>
      </c>
      <c r="H253" s="8">
        <f t="shared" si="11"/>
        <v>0</v>
      </c>
      <c r="I253" s="4" t="str">
        <f t="shared" si="12"/>
        <v/>
      </c>
    </row>
    <row r="254" spans="1:9" x14ac:dyDescent="0.2">
      <c r="A254" s="25"/>
      <c r="B254" s="25"/>
      <c r="C254" s="25"/>
      <c r="D254" s="25"/>
      <c r="E254" s="26" t="str">
        <f>IF(NOT(ISBLANK(A254)),VLOOKUP(A254,Listados!$A$3:$D$1252,2,FALSE),"")</f>
        <v/>
      </c>
      <c r="F254" s="26" t="str">
        <f>IF(NOT(ISBLANK(A254)),VLOOKUP(A254,Listados!$A$3:$D$1252,4,FALSE),"")</f>
        <v/>
      </c>
      <c r="G254" s="5" t="str">
        <f t="shared" si="10"/>
        <v/>
      </c>
      <c r="H254" s="8">
        <f t="shared" si="11"/>
        <v>0</v>
      </c>
      <c r="I254" s="4" t="str">
        <f t="shared" si="12"/>
        <v/>
      </c>
    </row>
    <row r="255" spans="1:9" x14ac:dyDescent="0.2">
      <c r="A255" s="25"/>
      <c r="B255" s="25"/>
      <c r="C255" s="25"/>
      <c r="D255" s="25"/>
      <c r="E255" s="26" t="str">
        <f>IF(NOT(ISBLANK(A255)),VLOOKUP(A255,Listados!$A$3:$D$1252,2,FALSE),"")</f>
        <v/>
      </c>
      <c r="F255" s="26" t="str">
        <f>IF(NOT(ISBLANK(A255)),VLOOKUP(A255,Listados!$A$3:$D$1252,4,FALSE),"")</f>
        <v/>
      </c>
      <c r="G255" s="5" t="str">
        <f t="shared" si="10"/>
        <v/>
      </c>
      <c r="H255" s="8">
        <f t="shared" si="11"/>
        <v>0</v>
      </c>
      <c r="I255" s="4" t="str">
        <f t="shared" si="12"/>
        <v/>
      </c>
    </row>
    <row r="256" spans="1:9" x14ac:dyDescent="0.2">
      <c r="A256" s="25"/>
      <c r="B256" s="25"/>
      <c r="C256" s="25"/>
      <c r="D256" s="25"/>
      <c r="E256" s="26" t="str">
        <f>IF(NOT(ISBLANK(A256)),VLOOKUP(A256,Listados!$A$3:$D$1252,2,FALSE),"")</f>
        <v/>
      </c>
      <c r="F256" s="26" t="str">
        <f>IF(NOT(ISBLANK(A256)),VLOOKUP(A256,Listados!$A$3:$D$1252,4,FALSE),"")</f>
        <v/>
      </c>
      <c r="G256" s="5" t="str">
        <f t="shared" si="10"/>
        <v/>
      </c>
      <c r="H256" s="8">
        <f t="shared" si="11"/>
        <v>0</v>
      </c>
      <c r="I256" s="4" t="str">
        <f t="shared" si="12"/>
        <v/>
      </c>
    </row>
    <row r="257" spans="1:9" x14ac:dyDescent="0.2">
      <c r="A257" s="25"/>
      <c r="B257" s="25"/>
      <c r="C257" s="25"/>
      <c r="D257" s="25"/>
      <c r="E257" s="26" t="str">
        <f>IF(NOT(ISBLANK(A257)),VLOOKUP(A257,Listados!$A$3:$D$1252,2,FALSE),"")</f>
        <v/>
      </c>
      <c r="F257" s="26" t="str">
        <f>IF(NOT(ISBLANK(A257)),VLOOKUP(A257,Listados!$A$3:$D$1252,4,FALSE),"")</f>
        <v/>
      </c>
      <c r="G257" s="5" t="str">
        <f t="shared" si="10"/>
        <v/>
      </c>
      <c r="H257" s="8">
        <f t="shared" si="11"/>
        <v>0</v>
      </c>
      <c r="I257" s="4" t="str">
        <f t="shared" si="12"/>
        <v/>
      </c>
    </row>
    <row r="258" spans="1:9" x14ac:dyDescent="0.2">
      <c r="A258" s="25"/>
      <c r="B258" s="25"/>
      <c r="C258" s="25"/>
      <c r="D258" s="25"/>
      <c r="E258" s="26" t="str">
        <f>IF(NOT(ISBLANK(A258)),VLOOKUP(A258,Listados!$A$3:$D$1252,2,FALSE),"")</f>
        <v/>
      </c>
      <c r="F258" s="26" t="str">
        <f>IF(NOT(ISBLANK(A258)),VLOOKUP(A258,Listados!$A$3:$D$1252,4,FALSE),"")</f>
        <v/>
      </c>
      <c r="G258" s="5" t="str">
        <f t="shared" si="10"/>
        <v/>
      </c>
      <c r="H258" s="8">
        <f t="shared" si="11"/>
        <v>0</v>
      </c>
      <c r="I258" s="4" t="str">
        <f t="shared" si="12"/>
        <v/>
      </c>
    </row>
    <row r="259" spans="1:9" x14ac:dyDescent="0.2">
      <c r="A259" s="25"/>
      <c r="B259" s="25"/>
      <c r="C259" s="25"/>
      <c r="D259" s="25"/>
      <c r="E259" s="26" t="str">
        <f>IF(NOT(ISBLANK(A259)),VLOOKUP(A259,Listados!$A$3:$D$1252,2,FALSE),"")</f>
        <v/>
      </c>
      <c r="F259" s="26" t="str">
        <f>IF(NOT(ISBLANK(A259)),VLOOKUP(A259,Listados!$A$3:$D$1252,4,FALSE),"")</f>
        <v/>
      </c>
      <c r="G259" s="5" t="str">
        <f t="shared" si="10"/>
        <v/>
      </c>
      <c r="H259" s="8">
        <f t="shared" si="11"/>
        <v>0</v>
      </c>
      <c r="I259" s="4" t="str">
        <f t="shared" si="12"/>
        <v/>
      </c>
    </row>
    <row r="260" spans="1:9" x14ac:dyDescent="0.2">
      <c r="A260" s="25"/>
      <c r="B260" s="25"/>
      <c r="C260" s="25"/>
      <c r="D260" s="25"/>
      <c r="E260" s="26" t="str">
        <f>IF(NOT(ISBLANK(A260)),VLOOKUP(A260,Listados!$A$3:$D$1252,2,FALSE),"")</f>
        <v/>
      </c>
      <c r="F260" s="26" t="str">
        <f>IF(NOT(ISBLANK(A260)),VLOOKUP(A260,Listados!$A$3:$D$1252,4,FALSE),"")</f>
        <v/>
      </c>
      <c r="G260" s="5" t="str">
        <f t="shared" si="10"/>
        <v/>
      </c>
      <c r="H260" s="8">
        <f t="shared" si="11"/>
        <v>0</v>
      </c>
      <c r="I260" s="4" t="str">
        <f t="shared" si="12"/>
        <v/>
      </c>
    </row>
    <row r="261" spans="1:9" x14ac:dyDescent="0.2">
      <c r="A261" s="25"/>
      <c r="B261" s="25"/>
      <c r="C261" s="25"/>
      <c r="D261" s="25"/>
      <c r="E261" s="26" t="str">
        <f>IF(NOT(ISBLANK(A261)),VLOOKUP(A261,Listados!$A$3:$D$1252,2,FALSE),"")</f>
        <v/>
      </c>
      <c r="F261" s="26" t="str">
        <f>IF(NOT(ISBLANK(A261)),VLOOKUP(A261,Listados!$A$3:$D$1252,4,FALSE),"")</f>
        <v/>
      </c>
      <c r="G261" s="5" t="str">
        <f t="shared" si="10"/>
        <v/>
      </c>
      <c r="H261" s="8">
        <f t="shared" si="11"/>
        <v>0</v>
      </c>
      <c r="I261" s="4" t="str">
        <f t="shared" si="12"/>
        <v/>
      </c>
    </row>
    <row r="262" spans="1:9" x14ac:dyDescent="0.2">
      <c r="A262" s="25"/>
      <c r="B262" s="25"/>
      <c r="C262" s="25"/>
      <c r="D262" s="25"/>
      <c r="E262" s="26" t="str">
        <f>IF(NOT(ISBLANK(A262)),VLOOKUP(A262,Listados!$A$3:$D$1252,2,FALSE),"")</f>
        <v/>
      </c>
      <c r="F262" s="26" t="str">
        <f>IF(NOT(ISBLANK(A262)),VLOOKUP(A262,Listados!$A$3:$D$1252,4,FALSE),"")</f>
        <v/>
      </c>
      <c r="G262" s="5" t="str">
        <f t="shared" si="10"/>
        <v/>
      </c>
      <c r="H262" s="8">
        <f t="shared" si="11"/>
        <v>0</v>
      </c>
      <c r="I262" s="4" t="str">
        <f t="shared" si="12"/>
        <v/>
      </c>
    </row>
    <row r="263" spans="1:9" x14ac:dyDescent="0.2">
      <c r="A263" s="25"/>
      <c r="B263" s="25"/>
      <c r="C263" s="25"/>
      <c r="D263" s="25"/>
      <c r="E263" s="26" t="str">
        <f>IF(NOT(ISBLANK(A263)),VLOOKUP(A263,Listados!$A$3:$D$1252,2,FALSE),"")</f>
        <v/>
      </c>
      <c r="F263" s="26" t="str">
        <f>IF(NOT(ISBLANK(A263)),VLOOKUP(A263,Listados!$A$3:$D$1252,4,FALSE),"")</f>
        <v/>
      </c>
      <c r="G263" s="5" t="str">
        <f t="shared" si="10"/>
        <v/>
      </c>
      <c r="H263" s="8">
        <f t="shared" si="11"/>
        <v>0</v>
      </c>
      <c r="I263" s="4" t="str">
        <f t="shared" si="12"/>
        <v/>
      </c>
    </row>
    <row r="264" spans="1:9" x14ac:dyDescent="0.2">
      <c r="A264" s="25"/>
      <c r="B264" s="25"/>
      <c r="C264" s="25"/>
      <c r="D264" s="25"/>
      <c r="E264" s="26" t="str">
        <f>IF(NOT(ISBLANK(A264)),VLOOKUP(A264,Listados!$A$3:$D$1252,2,FALSE),"")</f>
        <v/>
      </c>
      <c r="F264" s="26" t="str">
        <f>IF(NOT(ISBLANK(A264)),VLOOKUP(A264,Listados!$A$3:$D$1252,4,FALSE),"")</f>
        <v/>
      </c>
      <c r="G264" s="5" t="str">
        <f t="shared" si="10"/>
        <v/>
      </c>
      <c r="H264" s="8">
        <f t="shared" si="11"/>
        <v>0</v>
      </c>
      <c r="I264" s="4" t="str">
        <f t="shared" si="12"/>
        <v/>
      </c>
    </row>
  </sheetData>
  <sheetProtection algorithmName="SHA-512" hashValue="hj7yRKFIm6aEkb0EkCtbrGhIsTQesCTPtc+vwOnPstdUvjUKReagopaVI8GFeu4OwruHhfTRC8IMApK8ye1Iag==" saltValue="RItxv2xdXJ+6bFkf1VRacQ==" spinCount="100000" sheet="1" objects="1" scenarios="1"/>
  <mergeCells count="5">
    <mergeCell ref="A1:H1"/>
    <mergeCell ref="A2:H3"/>
    <mergeCell ref="A5:H5"/>
    <mergeCell ref="C10:F10"/>
    <mergeCell ref="C11:F11"/>
  </mergeCells>
  <conditionalFormatting sqref="H15:H264">
    <cfRule type="iconSet" priority="2">
      <iconSet iconSet="3Symbols" reverse="1">
        <cfvo type="percent" val="0"/>
        <cfvo type="num" val="1"/>
        <cfvo type="num" val="1"/>
      </iconSet>
    </cfRule>
  </conditionalFormatting>
  <conditionalFormatting sqref="H8:H11">
    <cfRule type="iconSet" priority="1">
      <iconSet iconSet="3Symbols" reverse="1">
        <cfvo type="percent" val="0"/>
        <cfvo type="num" val="1"/>
        <cfvo type="num" val="1"/>
      </iconSet>
    </cfRule>
  </conditionalFormatting>
  <dataValidations count="1">
    <dataValidation type="whole" allowBlank="1" showInputMessage="1" showErrorMessage="1" sqref="B15:D264" xr:uid="{7FA28A8D-5B66-451E-8A94-1FDA9D439494}">
      <formula1>0</formula1>
      <formula2>10000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No válido" error="Seleccione una fase dentro del listado" promptTitle="Fase" prompt="Seleccione la fase del presupuesto" xr:uid="{80E4D7D8-B0A1-4F5D-B814-2DC5EFF3D552}">
          <x14:formula1>
            <xm:f>Listados!$G$21:$G$37</xm:f>
          </x14:formula1>
          <xm:sqref>C11:F11</xm:sqref>
        </x14:dataValidation>
        <x14:dataValidation type="list" allowBlank="1" showInputMessage="1" showErrorMessage="1" errorTitle="No válido" error="Seleccione una metodología dentro del listado" promptTitle="Metodología" prompt="Seleccione la metodología del presupuesto" xr:uid="{568F5B3D-69F3-4C0F-AB98-B7671CA3FAD6}">
          <x14:formula1>
            <xm:f>Listados!$G$2:$G$8</xm:f>
          </x14:formula1>
          <xm:sqref>C10:F10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3374-8363-49D5-BA03-4D8BA9EF1CC5}">
  <dimension ref="A1:I276"/>
  <sheetViews>
    <sheetView showGridLines="0" workbookViewId="0">
      <selection sqref="A1:G1"/>
    </sheetView>
  </sheetViews>
  <sheetFormatPr baseColWidth="10" defaultColWidth="0" defaultRowHeight="12.75" zeroHeight="1" x14ac:dyDescent="0.2"/>
  <cols>
    <col min="1" max="1" width="23" customWidth="1"/>
    <col min="2" max="3" width="19.7109375" bestFit="1" customWidth="1"/>
    <col min="4" max="4" width="26.28515625" customWidth="1"/>
    <col min="5" max="5" width="28.85546875" customWidth="1"/>
    <col min="6" max="6" width="32.42578125" bestFit="1" customWidth="1"/>
    <col min="7" max="7" width="2.7109375" customWidth="1"/>
    <col min="8" max="9" width="2.7109375" hidden="1" customWidth="1"/>
    <col min="10" max="16384" width="11.42578125" hidden="1"/>
  </cols>
  <sheetData>
    <row r="1" spans="1:9" ht="23.25" x14ac:dyDescent="0.35">
      <c r="A1" s="11" t="s">
        <v>1214</v>
      </c>
      <c r="B1" s="11"/>
      <c r="C1" s="11"/>
      <c r="D1" s="11"/>
      <c r="E1" s="11"/>
      <c r="F1" s="11"/>
      <c r="G1" s="11"/>
      <c r="H1" s="6"/>
    </row>
    <row r="2" spans="1:9" ht="15" customHeight="1" x14ac:dyDescent="0.25">
      <c r="A2" s="12" t="s">
        <v>1215</v>
      </c>
      <c r="B2" s="13"/>
      <c r="C2" s="13"/>
      <c r="D2" s="13"/>
      <c r="E2" s="13"/>
      <c r="F2" s="13"/>
      <c r="G2" s="14"/>
      <c r="H2" s="10"/>
    </row>
    <row r="3" spans="1:9" ht="15" customHeight="1" x14ac:dyDescent="0.25">
      <c r="A3" s="15"/>
      <c r="B3" s="16"/>
      <c r="C3" s="16"/>
      <c r="D3" s="16"/>
      <c r="E3" s="16"/>
      <c r="F3" s="16"/>
      <c r="G3" s="17"/>
      <c r="H3" s="10"/>
    </row>
    <row r="4" spans="1:9" x14ac:dyDescent="0.2"/>
    <row r="5" spans="1:9" ht="14.25" x14ac:dyDescent="0.2">
      <c r="A5" s="18" t="str">
        <f>IF(SUM(G8:G257)&gt;0,"Hay uno o más errores. Corríjalos antes de subir el Excel","")</f>
        <v>Hay uno o más errores. Corríjalos antes de subir el Excel</v>
      </c>
      <c r="B5" s="18"/>
      <c r="C5" s="18"/>
      <c r="D5" s="18"/>
      <c r="E5" s="18"/>
      <c r="F5" s="18"/>
      <c r="G5" s="18"/>
      <c r="H5" s="7"/>
    </row>
    <row r="6" spans="1:9" x14ac:dyDescent="0.2"/>
    <row r="7" spans="1:9" ht="13.5" thickBot="1" x14ac:dyDescent="0.25"/>
    <row r="8" spans="1:9" ht="20.100000000000001" customHeight="1" thickBot="1" x14ac:dyDescent="0.3">
      <c r="A8" s="2" t="s">
        <v>1185</v>
      </c>
      <c r="C8" s="20"/>
      <c r="D8" s="3"/>
      <c r="E8" s="3"/>
      <c r="F8" s="5" t="str">
        <f>IF(C8="","Debe escribir el número de propuesta","")</f>
        <v>Debe escribir el número de propuesta</v>
      </c>
      <c r="G8" s="8">
        <f>IF(NOT(F8=""),1,0)</f>
        <v>1</v>
      </c>
      <c r="H8" s="8"/>
      <c r="I8" s="4">
        <f>IF(ISNUMBER(C8),C8,0)</f>
        <v>0</v>
      </c>
    </row>
    <row r="9" spans="1:9" ht="20.100000000000001" customHeight="1" thickBot="1" x14ac:dyDescent="0.3">
      <c r="A9" s="2" t="s">
        <v>1186</v>
      </c>
      <c r="C9" s="21"/>
      <c r="D9" s="3"/>
      <c r="E9" s="3"/>
      <c r="F9" s="5" t="str">
        <f>IF(C9="","Debe escribir el número de alternativa","")</f>
        <v>Debe escribir el número de alternativa</v>
      </c>
      <c r="G9" s="8">
        <f t="shared" ref="G9:G11" si="0">IF(NOT(F9=""),1,0)</f>
        <v>1</v>
      </c>
      <c r="H9" s="8"/>
      <c r="I9" s="4">
        <f>IF(ISNUMBER(C9),C9,0)</f>
        <v>0</v>
      </c>
    </row>
    <row r="10" spans="1:9" ht="20.100000000000001" customHeight="1" thickBot="1" x14ac:dyDescent="0.3">
      <c r="A10" s="2" t="s">
        <v>1188</v>
      </c>
      <c r="C10" s="22"/>
      <c r="D10" s="23"/>
      <c r="E10" s="24"/>
      <c r="F10" s="5" t="str">
        <f>IF(C10="","Debe seleccionar la metodología","")</f>
        <v>Debe seleccionar la metodología</v>
      </c>
      <c r="G10" s="8">
        <f t="shared" si="0"/>
        <v>1</v>
      </c>
      <c r="H10" s="8"/>
      <c r="I10" s="4" t="str">
        <f>IF(NOT(ISBLANK(C10)),VLOOKUP(C10,Listados!G12:H17,2,FALSE),"")</f>
        <v/>
      </c>
    </row>
    <row r="11" spans="1:9" ht="20.100000000000001" customHeight="1" thickBot="1" x14ac:dyDescent="0.3">
      <c r="A11" s="2" t="s">
        <v>1187</v>
      </c>
      <c r="C11" s="22"/>
      <c r="D11" s="23"/>
      <c r="E11" s="24"/>
      <c r="F11" s="5" t="str">
        <f>IF(C11="","Debe seleccionar la fase","")</f>
        <v>Debe seleccionar la fase</v>
      </c>
      <c r="G11" s="8">
        <f t="shared" si="0"/>
        <v>1</v>
      </c>
      <c r="H11" s="8"/>
      <c r="I11" s="4" t="str">
        <f>IF(NOT(ISBLANK(C11)),VLOOKUP(C11,Listados!G21:H37,2,FALSE),"")</f>
        <v/>
      </c>
    </row>
    <row r="12" spans="1:9" x14ac:dyDescent="0.2">
      <c r="C12" s="1"/>
      <c r="D12" s="1"/>
      <c r="E12" s="1"/>
      <c r="G12" s="8"/>
      <c r="H12" s="9"/>
    </row>
    <row r="13" spans="1:9" x14ac:dyDescent="0.2">
      <c r="G13" s="8"/>
      <c r="H13" s="9"/>
    </row>
    <row r="14" spans="1:9" ht="15" x14ac:dyDescent="0.25">
      <c r="A14" s="2" t="s">
        <v>1181</v>
      </c>
      <c r="B14" s="2" t="s">
        <v>1216</v>
      </c>
      <c r="C14" s="2" t="s">
        <v>1217</v>
      </c>
      <c r="D14" s="2" t="s">
        <v>1183</v>
      </c>
      <c r="E14" s="2" t="s">
        <v>1184</v>
      </c>
      <c r="G14" s="8"/>
      <c r="H14" s="9"/>
      <c r="I14" t="s">
        <v>1219</v>
      </c>
    </row>
    <row r="15" spans="1:9" x14ac:dyDescent="0.2">
      <c r="A15" s="25"/>
      <c r="B15" s="25"/>
      <c r="C15" s="25"/>
      <c r="D15" s="26" t="str">
        <f>IF(NOT(ISBLANK(A15)),VLOOKUP(A15,Listados!$A$3:$D$1252,2,FALSE),"")</f>
        <v/>
      </c>
      <c r="E15" s="26" t="str">
        <f>IF(NOT(ISBLANK(A15)),VLOOKUP(A15,Listados!$A$3:$D$1252,4,FALSE),"")</f>
        <v/>
      </c>
      <c r="F15" s="5" t="str">
        <f>IF(ISERROR(D15),"El código de ciudad no es válido",IF(AND(NOT(SUM(B15:C15)&gt;0),NOT(A15="")),"Escriba la muestra para esta ciudad",""))</f>
        <v/>
      </c>
      <c r="G15" s="8">
        <f>IF(NOT(F15=""),1,0)</f>
        <v>0</v>
      </c>
      <c r="H15" s="8"/>
      <c r="I15" s="4" t="str">
        <f>_xlfn.CONCAT(IF(AND(NOT(A15=""),ISNUMBER(B15)),"EXEC [dbo].[IQ_InsertarMuestra_WORK] "&amp;A15&amp;", "&amp;B15&amp;", 40, "&amp;$I$8&amp;", "&amp;$I$11&amp;", "&amp;$I$10&amp;", "&amp;$I$9&amp;";",""),IF(AND(NOT(A15=""),ISNUMBER(C15)),"EXEC [dbo].[IQ_InsertarMuestra_WORK] "&amp;A15&amp;", "&amp;C15&amp;", 50, "&amp;$I$8&amp;", "&amp;$I$11&amp;", "&amp;$I$10&amp;", "&amp;$I$9&amp;";",""))</f>
        <v/>
      </c>
    </row>
    <row r="16" spans="1:9" x14ac:dyDescent="0.2">
      <c r="A16" s="25"/>
      <c r="B16" s="25"/>
      <c r="C16" s="25"/>
      <c r="D16" s="26" t="str">
        <f>IF(NOT(ISBLANK(A16)),VLOOKUP(A16,Listados!$A$3:$D$1252,2,FALSE),"")</f>
        <v/>
      </c>
      <c r="E16" s="26" t="str">
        <f>IF(NOT(ISBLANK(A16)),VLOOKUP(A16,Listados!$A$3:$D$1252,4,FALSE),"")</f>
        <v/>
      </c>
      <c r="F16" s="5" t="str">
        <f t="shared" ref="F16:F79" si="1">IF(ISERROR(D16),"El código de ciudad no es válido",IF(AND(NOT(ISNUMBER(SUM(B16:C16))),NOT(A16="")),"Escriba la muestra para esta ciudad",""))</f>
        <v/>
      </c>
      <c r="G16" s="8">
        <f t="shared" ref="G16:G79" si="2">IF(NOT(F16=""),1,0)</f>
        <v>0</v>
      </c>
      <c r="H16" s="8"/>
      <c r="I16" s="4" t="str">
        <f>_xlfn.CONCAT(IF(AND(NOT(A16=""),ISNUMBER(B16)),"EXEC [dbo].[IQ_InsertarMuestra_WORK] "&amp;A16&amp;", "&amp;B16&amp;", 40, "&amp;$I$8&amp;", "&amp;$I$11&amp;", "&amp;$I$10&amp;", "&amp;$I$9&amp;";",""),IF(AND(NOT(A16=""),ISNUMBER(C16)),"EXEC [dbo].[IQ_InsertarMuestra_WORK] "&amp;A16&amp;", "&amp;C16&amp;", 50, "&amp;$I$8&amp;", "&amp;$I$11&amp;", "&amp;$I$10&amp;", "&amp;$I$9&amp;";",""))</f>
        <v/>
      </c>
    </row>
    <row r="17" spans="1:9" x14ac:dyDescent="0.2">
      <c r="A17" s="25"/>
      <c r="B17" s="25"/>
      <c r="C17" s="25"/>
      <c r="D17" s="26" t="str">
        <f>IF(NOT(ISBLANK(A17)),VLOOKUP(A17,Listados!$A$3:$D$1252,2,FALSE),"")</f>
        <v/>
      </c>
      <c r="E17" s="26" t="str">
        <f>IF(NOT(ISBLANK(A17)),VLOOKUP(A17,Listados!$A$3:$D$1252,4,FALSE),"")</f>
        <v/>
      </c>
      <c r="F17" s="5" t="str">
        <f t="shared" si="1"/>
        <v/>
      </c>
      <c r="G17" s="8">
        <f t="shared" si="2"/>
        <v>0</v>
      </c>
      <c r="H17" s="8"/>
      <c r="I17" s="4" t="str">
        <f t="shared" ref="I17:I80" si="3">_xlfn.CONCAT(IF(AND(NOT(A17=""),ISNUMBER(B17)),"EXEC [dbo].[IQ_InsertarMuestra_WORK] "&amp;A17&amp;", "&amp;B17&amp;", 40, "&amp;$I$8&amp;", "&amp;$I$11&amp;", "&amp;$I$10&amp;", "&amp;$I$9&amp;";",""),IF(AND(NOT(A17=""),ISNUMBER(C17)),"EXEC [dbo].[IQ_InsertarMuestra_WORK] "&amp;A17&amp;", "&amp;C17&amp;", 50, "&amp;$I$8&amp;", "&amp;$I$11&amp;", "&amp;$I$10&amp;", "&amp;$I$9&amp;";",""))</f>
        <v/>
      </c>
    </row>
    <row r="18" spans="1:9" x14ac:dyDescent="0.2">
      <c r="A18" s="25"/>
      <c r="B18" s="25"/>
      <c r="C18" s="25"/>
      <c r="D18" s="26" t="str">
        <f>IF(NOT(ISBLANK(A18)),VLOOKUP(A18,Listados!$A$3:$D$1252,2,FALSE),"")</f>
        <v/>
      </c>
      <c r="E18" s="26" t="str">
        <f>IF(NOT(ISBLANK(A18)),VLOOKUP(A18,Listados!$A$3:$D$1252,4,FALSE),"")</f>
        <v/>
      </c>
      <c r="F18" s="5" t="str">
        <f t="shared" si="1"/>
        <v/>
      </c>
      <c r="G18" s="8">
        <f t="shared" si="2"/>
        <v>0</v>
      </c>
      <c r="H18" s="8"/>
      <c r="I18" s="4" t="str">
        <f t="shared" si="3"/>
        <v/>
      </c>
    </row>
    <row r="19" spans="1:9" x14ac:dyDescent="0.2">
      <c r="A19" s="25"/>
      <c r="B19" s="25"/>
      <c r="C19" s="25"/>
      <c r="D19" s="26" t="str">
        <f>IF(NOT(ISBLANK(A19)),VLOOKUP(A19,Listados!$A$3:$D$1252,2,FALSE),"")</f>
        <v/>
      </c>
      <c r="E19" s="26" t="str">
        <f>IF(NOT(ISBLANK(A19)),VLOOKUP(A19,Listados!$A$3:$D$1252,4,FALSE),"")</f>
        <v/>
      </c>
      <c r="F19" s="5" t="str">
        <f t="shared" si="1"/>
        <v/>
      </c>
      <c r="G19" s="8">
        <f t="shared" si="2"/>
        <v>0</v>
      </c>
      <c r="H19" s="8"/>
      <c r="I19" s="4" t="str">
        <f t="shared" si="3"/>
        <v/>
      </c>
    </row>
    <row r="20" spans="1:9" x14ac:dyDescent="0.2">
      <c r="A20" s="25"/>
      <c r="B20" s="25"/>
      <c r="C20" s="25"/>
      <c r="D20" s="26" t="str">
        <f>IF(NOT(ISBLANK(A20)),VLOOKUP(A20,Listados!$A$3:$D$1252,2,FALSE),"")</f>
        <v/>
      </c>
      <c r="E20" s="26" t="str">
        <f>IF(NOT(ISBLANK(A20)),VLOOKUP(A20,Listados!$A$3:$D$1252,4,FALSE),"")</f>
        <v/>
      </c>
      <c r="F20" s="5" t="str">
        <f t="shared" si="1"/>
        <v/>
      </c>
      <c r="G20" s="8">
        <f t="shared" si="2"/>
        <v>0</v>
      </c>
      <c r="H20" s="8"/>
      <c r="I20" s="4" t="str">
        <f t="shared" si="3"/>
        <v/>
      </c>
    </row>
    <row r="21" spans="1:9" x14ac:dyDescent="0.2">
      <c r="A21" s="25"/>
      <c r="B21" s="25"/>
      <c r="C21" s="25"/>
      <c r="D21" s="26" t="str">
        <f>IF(NOT(ISBLANK(A21)),VLOOKUP(A21,Listados!$A$3:$D$1252,2,FALSE),"")</f>
        <v/>
      </c>
      <c r="E21" s="26" t="str">
        <f>IF(NOT(ISBLANK(A21)),VLOOKUP(A21,Listados!$A$3:$D$1252,4,FALSE),"")</f>
        <v/>
      </c>
      <c r="F21" s="5" t="str">
        <f t="shared" si="1"/>
        <v/>
      </c>
      <c r="G21" s="8">
        <f t="shared" si="2"/>
        <v>0</v>
      </c>
      <c r="H21" s="8"/>
      <c r="I21" s="4" t="str">
        <f t="shared" si="3"/>
        <v/>
      </c>
    </row>
    <row r="22" spans="1:9" x14ac:dyDescent="0.2">
      <c r="A22" s="25"/>
      <c r="B22" s="25"/>
      <c r="C22" s="25"/>
      <c r="D22" s="26" t="str">
        <f>IF(NOT(ISBLANK(A22)),VLOOKUP(A22,Listados!$A$3:$D$1252,2,FALSE),"")</f>
        <v/>
      </c>
      <c r="E22" s="26" t="str">
        <f>IF(NOT(ISBLANK(A22)),VLOOKUP(A22,Listados!$A$3:$D$1252,4,FALSE),"")</f>
        <v/>
      </c>
      <c r="F22" s="5" t="str">
        <f t="shared" si="1"/>
        <v/>
      </c>
      <c r="G22" s="8">
        <f t="shared" si="2"/>
        <v>0</v>
      </c>
      <c r="H22" s="8"/>
      <c r="I22" s="4" t="str">
        <f t="shared" si="3"/>
        <v/>
      </c>
    </row>
    <row r="23" spans="1:9" x14ac:dyDescent="0.2">
      <c r="A23" s="25"/>
      <c r="B23" s="25"/>
      <c r="C23" s="25"/>
      <c r="D23" s="26" t="str">
        <f>IF(NOT(ISBLANK(A23)),VLOOKUP(A23,Listados!$A$3:$D$1252,2,FALSE),"")</f>
        <v/>
      </c>
      <c r="E23" s="26" t="str">
        <f>IF(NOT(ISBLANK(A23)),VLOOKUP(A23,Listados!$A$3:$D$1252,4,FALSE),"")</f>
        <v/>
      </c>
      <c r="F23" s="5" t="str">
        <f t="shared" si="1"/>
        <v/>
      </c>
      <c r="G23" s="8">
        <f t="shared" si="2"/>
        <v>0</v>
      </c>
      <c r="H23" s="8"/>
      <c r="I23" s="4" t="str">
        <f t="shared" si="3"/>
        <v/>
      </c>
    </row>
    <row r="24" spans="1:9" x14ac:dyDescent="0.2">
      <c r="A24" s="25"/>
      <c r="B24" s="25"/>
      <c r="C24" s="25"/>
      <c r="D24" s="26" t="str">
        <f>IF(NOT(ISBLANK(A24)),VLOOKUP(A24,Listados!$A$3:$D$1252,2,FALSE),"")</f>
        <v/>
      </c>
      <c r="E24" s="26" t="str">
        <f>IF(NOT(ISBLANK(A24)),VLOOKUP(A24,Listados!$A$3:$D$1252,4,FALSE),"")</f>
        <v/>
      </c>
      <c r="F24" s="5" t="str">
        <f t="shared" si="1"/>
        <v/>
      </c>
      <c r="G24" s="8">
        <f t="shared" si="2"/>
        <v>0</v>
      </c>
      <c r="H24" s="8"/>
      <c r="I24" s="4" t="str">
        <f t="shared" si="3"/>
        <v/>
      </c>
    </row>
    <row r="25" spans="1:9" x14ac:dyDescent="0.2">
      <c r="A25" s="25"/>
      <c r="B25" s="25"/>
      <c r="C25" s="25"/>
      <c r="D25" s="26" t="str">
        <f>IF(NOT(ISBLANK(A25)),VLOOKUP(A25,Listados!$A$3:$D$1252,2,FALSE),"")</f>
        <v/>
      </c>
      <c r="E25" s="26" t="str">
        <f>IF(NOT(ISBLANK(A25)),VLOOKUP(A25,Listados!$A$3:$D$1252,4,FALSE),"")</f>
        <v/>
      </c>
      <c r="F25" s="5" t="str">
        <f t="shared" si="1"/>
        <v/>
      </c>
      <c r="G25" s="8">
        <f t="shared" si="2"/>
        <v>0</v>
      </c>
      <c r="H25" s="8"/>
      <c r="I25" s="4" t="str">
        <f t="shared" si="3"/>
        <v/>
      </c>
    </row>
    <row r="26" spans="1:9" x14ac:dyDescent="0.2">
      <c r="A26" s="25"/>
      <c r="B26" s="25"/>
      <c r="C26" s="25"/>
      <c r="D26" s="26" t="str">
        <f>IF(NOT(ISBLANK(A26)),VLOOKUP(A26,Listados!$A$3:$D$1252,2,FALSE),"")</f>
        <v/>
      </c>
      <c r="E26" s="26" t="str">
        <f>IF(NOT(ISBLANK(A26)),VLOOKUP(A26,Listados!$A$3:$D$1252,4,FALSE),"")</f>
        <v/>
      </c>
      <c r="F26" s="5" t="str">
        <f t="shared" si="1"/>
        <v/>
      </c>
      <c r="G26" s="8">
        <f t="shared" si="2"/>
        <v>0</v>
      </c>
      <c r="H26" s="8"/>
      <c r="I26" s="4" t="str">
        <f t="shared" si="3"/>
        <v/>
      </c>
    </row>
    <row r="27" spans="1:9" x14ac:dyDescent="0.2">
      <c r="A27" s="25"/>
      <c r="B27" s="25"/>
      <c r="C27" s="25"/>
      <c r="D27" s="26" t="str">
        <f>IF(NOT(ISBLANK(A27)),VLOOKUP(A27,Listados!$A$3:$D$1252,2,FALSE),"")</f>
        <v/>
      </c>
      <c r="E27" s="26" t="str">
        <f>IF(NOT(ISBLANK(A27)),VLOOKUP(A27,Listados!$A$3:$D$1252,4,FALSE),"")</f>
        <v/>
      </c>
      <c r="F27" s="5" t="str">
        <f t="shared" si="1"/>
        <v/>
      </c>
      <c r="G27" s="8">
        <f t="shared" si="2"/>
        <v>0</v>
      </c>
      <c r="H27" s="8"/>
      <c r="I27" s="4" t="str">
        <f t="shared" si="3"/>
        <v/>
      </c>
    </row>
    <row r="28" spans="1:9" x14ac:dyDescent="0.2">
      <c r="A28" s="25"/>
      <c r="B28" s="25"/>
      <c r="C28" s="25"/>
      <c r="D28" s="26" t="str">
        <f>IF(NOT(ISBLANK(A28)),VLOOKUP(A28,Listados!$A$3:$D$1252,2,FALSE),"")</f>
        <v/>
      </c>
      <c r="E28" s="26" t="str">
        <f>IF(NOT(ISBLANK(A28)),VLOOKUP(A28,Listados!$A$3:$D$1252,4,FALSE),"")</f>
        <v/>
      </c>
      <c r="F28" s="5" t="str">
        <f t="shared" si="1"/>
        <v/>
      </c>
      <c r="G28" s="8">
        <f t="shared" si="2"/>
        <v>0</v>
      </c>
      <c r="H28" s="8"/>
      <c r="I28" s="4" t="str">
        <f t="shared" si="3"/>
        <v/>
      </c>
    </row>
    <row r="29" spans="1:9" x14ac:dyDescent="0.2">
      <c r="A29" s="25"/>
      <c r="B29" s="25"/>
      <c r="C29" s="25"/>
      <c r="D29" s="26" t="str">
        <f>IF(NOT(ISBLANK(A29)),VLOOKUP(A29,Listados!$A$3:$D$1252,2,FALSE),"")</f>
        <v/>
      </c>
      <c r="E29" s="26" t="str">
        <f>IF(NOT(ISBLANK(A29)),VLOOKUP(A29,Listados!$A$3:$D$1252,4,FALSE),"")</f>
        <v/>
      </c>
      <c r="F29" s="5" t="str">
        <f t="shared" si="1"/>
        <v/>
      </c>
      <c r="G29" s="8">
        <f t="shared" si="2"/>
        <v>0</v>
      </c>
      <c r="H29" s="8"/>
      <c r="I29" s="4" t="str">
        <f t="shared" si="3"/>
        <v/>
      </c>
    </row>
    <row r="30" spans="1:9" x14ac:dyDescent="0.2">
      <c r="A30" s="25"/>
      <c r="B30" s="25"/>
      <c r="C30" s="25"/>
      <c r="D30" s="26" t="str">
        <f>IF(NOT(ISBLANK(A30)),VLOOKUP(A30,Listados!$A$3:$D$1252,2,FALSE),"")</f>
        <v/>
      </c>
      <c r="E30" s="26" t="str">
        <f>IF(NOT(ISBLANK(A30)),VLOOKUP(A30,Listados!$A$3:$D$1252,4,FALSE),"")</f>
        <v/>
      </c>
      <c r="F30" s="5" t="str">
        <f t="shared" si="1"/>
        <v/>
      </c>
      <c r="G30" s="8">
        <f t="shared" si="2"/>
        <v>0</v>
      </c>
      <c r="H30" s="8"/>
      <c r="I30" s="4" t="str">
        <f t="shared" si="3"/>
        <v/>
      </c>
    </row>
    <row r="31" spans="1:9" x14ac:dyDescent="0.2">
      <c r="A31" s="25"/>
      <c r="B31" s="25"/>
      <c r="C31" s="25"/>
      <c r="D31" s="26" t="str">
        <f>IF(NOT(ISBLANK(A31)),VLOOKUP(A31,Listados!$A$3:$D$1252,2,FALSE),"")</f>
        <v/>
      </c>
      <c r="E31" s="26" t="str">
        <f>IF(NOT(ISBLANK(A31)),VLOOKUP(A31,Listados!$A$3:$D$1252,4,FALSE),"")</f>
        <v/>
      </c>
      <c r="F31" s="5" t="str">
        <f t="shared" si="1"/>
        <v/>
      </c>
      <c r="G31" s="8">
        <f t="shared" si="2"/>
        <v>0</v>
      </c>
      <c r="H31" s="8"/>
      <c r="I31" s="4" t="str">
        <f t="shared" si="3"/>
        <v/>
      </c>
    </row>
    <row r="32" spans="1:9" x14ac:dyDescent="0.2">
      <c r="A32" s="25"/>
      <c r="B32" s="25"/>
      <c r="C32" s="25"/>
      <c r="D32" s="26" t="str">
        <f>IF(NOT(ISBLANK(A32)),VLOOKUP(A32,Listados!$A$3:$D$1252,2,FALSE),"")</f>
        <v/>
      </c>
      <c r="E32" s="26" t="str">
        <f>IF(NOT(ISBLANK(A32)),VLOOKUP(A32,Listados!$A$3:$D$1252,4,FALSE),"")</f>
        <v/>
      </c>
      <c r="F32" s="5" t="str">
        <f t="shared" si="1"/>
        <v/>
      </c>
      <c r="G32" s="8">
        <f t="shared" si="2"/>
        <v>0</v>
      </c>
      <c r="H32" s="8"/>
      <c r="I32" s="4" t="str">
        <f t="shared" si="3"/>
        <v/>
      </c>
    </row>
    <row r="33" spans="1:9" x14ac:dyDescent="0.2">
      <c r="A33" s="25"/>
      <c r="B33" s="25"/>
      <c r="C33" s="25"/>
      <c r="D33" s="26" t="str">
        <f>IF(NOT(ISBLANK(A33)),VLOOKUP(A33,Listados!$A$3:$D$1252,2,FALSE),"")</f>
        <v/>
      </c>
      <c r="E33" s="26" t="str">
        <f>IF(NOT(ISBLANK(A33)),VLOOKUP(A33,Listados!$A$3:$D$1252,4,FALSE),"")</f>
        <v/>
      </c>
      <c r="F33" s="5" t="str">
        <f t="shared" si="1"/>
        <v/>
      </c>
      <c r="G33" s="8">
        <f t="shared" si="2"/>
        <v>0</v>
      </c>
      <c r="H33" s="8"/>
      <c r="I33" s="4" t="str">
        <f t="shared" si="3"/>
        <v/>
      </c>
    </row>
    <row r="34" spans="1:9" x14ac:dyDescent="0.2">
      <c r="A34" s="25"/>
      <c r="B34" s="25"/>
      <c r="C34" s="25"/>
      <c r="D34" s="26" t="str">
        <f>IF(NOT(ISBLANK(A34)),VLOOKUP(A34,Listados!$A$3:$D$1252,2,FALSE),"")</f>
        <v/>
      </c>
      <c r="E34" s="26" t="str">
        <f>IF(NOT(ISBLANK(A34)),VLOOKUP(A34,Listados!$A$3:$D$1252,4,FALSE),"")</f>
        <v/>
      </c>
      <c r="F34" s="5" t="str">
        <f t="shared" si="1"/>
        <v/>
      </c>
      <c r="G34" s="8">
        <f t="shared" si="2"/>
        <v>0</v>
      </c>
      <c r="H34" s="8"/>
      <c r="I34" s="4" t="str">
        <f t="shared" si="3"/>
        <v/>
      </c>
    </row>
    <row r="35" spans="1:9" x14ac:dyDescent="0.2">
      <c r="A35" s="25"/>
      <c r="B35" s="25"/>
      <c r="C35" s="25"/>
      <c r="D35" s="26" t="str">
        <f>IF(NOT(ISBLANK(A35)),VLOOKUP(A35,Listados!$A$3:$D$1252,2,FALSE),"")</f>
        <v/>
      </c>
      <c r="E35" s="26" t="str">
        <f>IF(NOT(ISBLANK(A35)),VLOOKUP(A35,Listados!$A$3:$D$1252,4,FALSE),"")</f>
        <v/>
      </c>
      <c r="F35" s="5" t="str">
        <f t="shared" si="1"/>
        <v/>
      </c>
      <c r="G35" s="8">
        <f t="shared" si="2"/>
        <v>0</v>
      </c>
      <c r="H35" s="8"/>
      <c r="I35" s="4" t="str">
        <f t="shared" si="3"/>
        <v/>
      </c>
    </row>
    <row r="36" spans="1:9" x14ac:dyDescent="0.2">
      <c r="A36" s="25"/>
      <c r="B36" s="25"/>
      <c r="C36" s="25"/>
      <c r="D36" s="26" t="str">
        <f>IF(NOT(ISBLANK(A36)),VLOOKUP(A36,Listados!$A$3:$D$1252,2,FALSE),"")</f>
        <v/>
      </c>
      <c r="E36" s="26" t="str">
        <f>IF(NOT(ISBLANK(A36)),VLOOKUP(A36,Listados!$A$3:$D$1252,4,FALSE),"")</f>
        <v/>
      </c>
      <c r="F36" s="5" t="str">
        <f t="shared" si="1"/>
        <v/>
      </c>
      <c r="G36" s="8">
        <f t="shared" si="2"/>
        <v>0</v>
      </c>
      <c r="H36" s="8"/>
      <c r="I36" s="4" t="str">
        <f t="shared" si="3"/>
        <v/>
      </c>
    </row>
    <row r="37" spans="1:9" x14ac:dyDescent="0.2">
      <c r="A37" s="25"/>
      <c r="B37" s="25"/>
      <c r="C37" s="25"/>
      <c r="D37" s="26" t="str">
        <f>IF(NOT(ISBLANK(A37)),VLOOKUP(A37,Listados!$A$3:$D$1252,2,FALSE),"")</f>
        <v/>
      </c>
      <c r="E37" s="26" t="str">
        <f>IF(NOT(ISBLANK(A37)),VLOOKUP(A37,Listados!$A$3:$D$1252,4,FALSE),"")</f>
        <v/>
      </c>
      <c r="F37" s="5" t="str">
        <f t="shared" si="1"/>
        <v/>
      </c>
      <c r="G37" s="8">
        <f t="shared" si="2"/>
        <v>0</v>
      </c>
      <c r="H37" s="8"/>
      <c r="I37" s="4" t="str">
        <f t="shared" si="3"/>
        <v/>
      </c>
    </row>
    <row r="38" spans="1:9" x14ac:dyDescent="0.2">
      <c r="A38" s="25"/>
      <c r="B38" s="25"/>
      <c r="C38" s="25"/>
      <c r="D38" s="26" t="str">
        <f>IF(NOT(ISBLANK(A38)),VLOOKUP(A38,Listados!$A$3:$D$1252,2,FALSE),"")</f>
        <v/>
      </c>
      <c r="E38" s="26" t="str">
        <f>IF(NOT(ISBLANK(A38)),VLOOKUP(A38,Listados!$A$3:$D$1252,4,FALSE),"")</f>
        <v/>
      </c>
      <c r="F38" s="5" t="str">
        <f t="shared" si="1"/>
        <v/>
      </c>
      <c r="G38" s="8">
        <f t="shared" si="2"/>
        <v>0</v>
      </c>
      <c r="H38" s="8"/>
      <c r="I38" s="4" t="str">
        <f t="shared" si="3"/>
        <v/>
      </c>
    </row>
    <row r="39" spans="1:9" x14ac:dyDescent="0.2">
      <c r="A39" s="25"/>
      <c r="B39" s="25"/>
      <c r="C39" s="25"/>
      <c r="D39" s="26" t="str">
        <f>IF(NOT(ISBLANK(A39)),VLOOKUP(A39,Listados!$A$3:$D$1252,2,FALSE),"")</f>
        <v/>
      </c>
      <c r="E39" s="26" t="str">
        <f>IF(NOT(ISBLANK(A39)),VLOOKUP(A39,Listados!$A$3:$D$1252,4,FALSE),"")</f>
        <v/>
      </c>
      <c r="F39" s="5" t="str">
        <f t="shared" si="1"/>
        <v/>
      </c>
      <c r="G39" s="8">
        <f t="shared" si="2"/>
        <v>0</v>
      </c>
      <c r="H39" s="8"/>
      <c r="I39" s="4" t="str">
        <f t="shared" si="3"/>
        <v/>
      </c>
    </row>
    <row r="40" spans="1:9" x14ac:dyDescent="0.2">
      <c r="A40" s="25"/>
      <c r="B40" s="25"/>
      <c r="C40" s="25"/>
      <c r="D40" s="26" t="str">
        <f>IF(NOT(ISBLANK(A40)),VLOOKUP(A40,Listados!$A$3:$D$1252,2,FALSE),"")</f>
        <v/>
      </c>
      <c r="E40" s="26" t="str">
        <f>IF(NOT(ISBLANK(A40)),VLOOKUP(A40,Listados!$A$3:$D$1252,4,FALSE),"")</f>
        <v/>
      </c>
      <c r="F40" s="5" t="str">
        <f t="shared" si="1"/>
        <v/>
      </c>
      <c r="G40" s="8">
        <f t="shared" si="2"/>
        <v>0</v>
      </c>
      <c r="H40" s="8"/>
      <c r="I40" s="4" t="str">
        <f t="shared" si="3"/>
        <v/>
      </c>
    </row>
    <row r="41" spans="1:9" x14ac:dyDescent="0.2">
      <c r="A41" s="25"/>
      <c r="B41" s="25"/>
      <c r="C41" s="25"/>
      <c r="D41" s="26" t="str">
        <f>IF(NOT(ISBLANK(A41)),VLOOKUP(A41,Listados!$A$3:$D$1252,2,FALSE),"")</f>
        <v/>
      </c>
      <c r="E41" s="26" t="str">
        <f>IF(NOT(ISBLANK(A41)),VLOOKUP(A41,Listados!$A$3:$D$1252,4,FALSE),"")</f>
        <v/>
      </c>
      <c r="F41" s="5" t="str">
        <f t="shared" si="1"/>
        <v/>
      </c>
      <c r="G41" s="8">
        <f t="shared" si="2"/>
        <v>0</v>
      </c>
      <c r="H41" s="8"/>
      <c r="I41" s="4" t="str">
        <f t="shared" si="3"/>
        <v/>
      </c>
    </row>
    <row r="42" spans="1:9" x14ac:dyDescent="0.2">
      <c r="A42" s="25"/>
      <c r="B42" s="25"/>
      <c r="C42" s="25"/>
      <c r="D42" s="26" t="str">
        <f>IF(NOT(ISBLANK(A42)),VLOOKUP(A42,Listados!$A$3:$D$1252,2,FALSE),"")</f>
        <v/>
      </c>
      <c r="E42" s="26" t="str">
        <f>IF(NOT(ISBLANK(A42)),VLOOKUP(A42,Listados!$A$3:$D$1252,4,FALSE),"")</f>
        <v/>
      </c>
      <c r="F42" s="5" t="str">
        <f t="shared" si="1"/>
        <v/>
      </c>
      <c r="G42" s="8">
        <f t="shared" si="2"/>
        <v>0</v>
      </c>
      <c r="H42" s="8"/>
      <c r="I42" s="4" t="str">
        <f t="shared" si="3"/>
        <v/>
      </c>
    </row>
    <row r="43" spans="1:9" x14ac:dyDescent="0.2">
      <c r="A43" s="25"/>
      <c r="B43" s="25"/>
      <c r="C43" s="25"/>
      <c r="D43" s="26" t="str">
        <f>IF(NOT(ISBLANK(A43)),VLOOKUP(A43,Listados!$A$3:$D$1252,2,FALSE),"")</f>
        <v/>
      </c>
      <c r="E43" s="26" t="str">
        <f>IF(NOT(ISBLANK(A43)),VLOOKUP(A43,Listados!$A$3:$D$1252,4,FALSE),"")</f>
        <v/>
      </c>
      <c r="F43" s="5" t="str">
        <f t="shared" si="1"/>
        <v/>
      </c>
      <c r="G43" s="8">
        <f t="shared" si="2"/>
        <v>0</v>
      </c>
      <c r="H43" s="8"/>
      <c r="I43" s="4" t="str">
        <f t="shared" si="3"/>
        <v/>
      </c>
    </row>
    <row r="44" spans="1:9" x14ac:dyDescent="0.2">
      <c r="A44" s="25"/>
      <c r="B44" s="25"/>
      <c r="C44" s="25"/>
      <c r="D44" s="26" t="str">
        <f>IF(NOT(ISBLANK(A44)),VLOOKUP(A44,Listados!$A$3:$D$1252,2,FALSE),"")</f>
        <v/>
      </c>
      <c r="E44" s="26" t="str">
        <f>IF(NOT(ISBLANK(A44)),VLOOKUP(A44,Listados!$A$3:$D$1252,4,FALSE),"")</f>
        <v/>
      </c>
      <c r="F44" s="5" t="str">
        <f t="shared" si="1"/>
        <v/>
      </c>
      <c r="G44" s="8">
        <f t="shared" si="2"/>
        <v>0</v>
      </c>
      <c r="H44" s="8"/>
      <c r="I44" s="4" t="str">
        <f t="shared" si="3"/>
        <v/>
      </c>
    </row>
    <row r="45" spans="1:9" x14ac:dyDescent="0.2">
      <c r="A45" s="25"/>
      <c r="B45" s="25"/>
      <c r="C45" s="25"/>
      <c r="D45" s="26" t="str">
        <f>IF(NOT(ISBLANK(A45)),VLOOKUP(A45,Listados!$A$3:$D$1252,2,FALSE),"")</f>
        <v/>
      </c>
      <c r="E45" s="26" t="str">
        <f>IF(NOT(ISBLANK(A45)),VLOOKUP(A45,Listados!$A$3:$D$1252,4,FALSE),"")</f>
        <v/>
      </c>
      <c r="F45" s="5" t="str">
        <f t="shared" si="1"/>
        <v/>
      </c>
      <c r="G45" s="8">
        <f t="shared" si="2"/>
        <v>0</v>
      </c>
      <c r="H45" s="8"/>
      <c r="I45" s="4" t="str">
        <f t="shared" si="3"/>
        <v/>
      </c>
    </row>
    <row r="46" spans="1:9" x14ac:dyDescent="0.2">
      <c r="A46" s="25"/>
      <c r="B46" s="25"/>
      <c r="C46" s="25"/>
      <c r="D46" s="26" t="str">
        <f>IF(NOT(ISBLANK(A46)),VLOOKUP(A46,Listados!$A$3:$D$1252,2,FALSE),"")</f>
        <v/>
      </c>
      <c r="E46" s="26" t="str">
        <f>IF(NOT(ISBLANK(A46)),VLOOKUP(A46,Listados!$A$3:$D$1252,4,FALSE),"")</f>
        <v/>
      </c>
      <c r="F46" s="5" t="str">
        <f t="shared" si="1"/>
        <v/>
      </c>
      <c r="G46" s="8">
        <f t="shared" si="2"/>
        <v>0</v>
      </c>
      <c r="H46" s="8"/>
      <c r="I46" s="4" t="str">
        <f t="shared" si="3"/>
        <v/>
      </c>
    </row>
    <row r="47" spans="1:9" x14ac:dyDescent="0.2">
      <c r="A47" s="25"/>
      <c r="B47" s="25"/>
      <c r="C47" s="25"/>
      <c r="D47" s="26" t="str">
        <f>IF(NOT(ISBLANK(A47)),VLOOKUP(A47,Listados!$A$3:$D$1252,2,FALSE),"")</f>
        <v/>
      </c>
      <c r="E47" s="26" t="str">
        <f>IF(NOT(ISBLANK(A47)),VLOOKUP(A47,Listados!$A$3:$D$1252,4,FALSE),"")</f>
        <v/>
      </c>
      <c r="F47" s="5" t="str">
        <f t="shared" si="1"/>
        <v/>
      </c>
      <c r="G47" s="8">
        <f t="shared" si="2"/>
        <v>0</v>
      </c>
      <c r="H47" s="8"/>
      <c r="I47" s="4" t="str">
        <f t="shared" si="3"/>
        <v/>
      </c>
    </row>
    <row r="48" spans="1:9" x14ac:dyDescent="0.2">
      <c r="A48" s="25"/>
      <c r="B48" s="25"/>
      <c r="C48" s="25"/>
      <c r="D48" s="26" t="str">
        <f>IF(NOT(ISBLANK(A48)),VLOOKUP(A48,Listados!$A$3:$D$1252,2,FALSE),"")</f>
        <v/>
      </c>
      <c r="E48" s="26" t="str">
        <f>IF(NOT(ISBLANK(A48)),VLOOKUP(A48,Listados!$A$3:$D$1252,4,FALSE),"")</f>
        <v/>
      </c>
      <c r="F48" s="5" t="str">
        <f t="shared" si="1"/>
        <v/>
      </c>
      <c r="G48" s="8">
        <f t="shared" si="2"/>
        <v>0</v>
      </c>
      <c r="H48" s="8"/>
      <c r="I48" s="4" t="str">
        <f t="shared" si="3"/>
        <v/>
      </c>
    </row>
    <row r="49" spans="1:9" x14ac:dyDescent="0.2">
      <c r="A49" s="25"/>
      <c r="B49" s="25"/>
      <c r="C49" s="25"/>
      <c r="D49" s="26" t="str">
        <f>IF(NOT(ISBLANK(A49)),VLOOKUP(A49,Listados!$A$3:$D$1252,2,FALSE),"")</f>
        <v/>
      </c>
      <c r="E49" s="26" t="str">
        <f>IF(NOT(ISBLANK(A49)),VLOOKUP(A49,Listados!$A$3:$D$1252,4,FALSE),"")</f>
        <v/>
      </c>
      <c r="F49" s="5" t="str">
        <f t="shared" si="1"/>
        <v/>
      </c>
      <c r="G49" s="8">
        <f t="shared" si="2"/>
        <v>0</v>
      </c>
      <c r="H49" s="8"/>
      <c r="I49" s="4" t="str">
        <f t="shared" si="3"/>
        <v/>
      </c>
    </row>
    <row r="50" spans="1:9" x14ac:dyDescent="0.2">
      <c r="A50" s="25"/>
      <c r="B50" s="25"/>
      <c r="C50" s="25"/>
      <c r="D50" s="26" t="str">
        <f>IF(NOT(ISBLANK(A50)),VLOOKUP(A50,Listados!$A$3:$D$1252,2,FALSE),"")</f>
        <v/>
      </c>
      <c r="E50" s="26" t="str">
        <f>IF(NOT(ISBLANK(A50)),VLOOKUP(A50,Listados!$A$3:$D$1252,4,FALSE),"")</f>
        <v/>
      </c>
      <c r="F50" s="5" t="str">
        <f t="shared" si="1"/>
        <v/>
      </c>
      <c r="G50" s="8">
        <f t="shared" si="2"/>
        <v>0</v>
      </c>
      <c r="H50" s="8"/>
      <c r="I50" s="4" t="str">
        <f t="shared" si="3"/>
        <v/>
      </c>
    </row>
    <row r="51" spans="1:9" x14ac:dyDescent="0.2">
      <c r="A51" s="25"/>
      <c r="B51" s="25"/>
      <c r="C51" s="25"/>
      <c r="D51" s="26" t="str">
        <f>IF(NOT(ISBLANK(A51)),VLOOKUP(A51,Listados!$A$3:$D$1252,2,FALSE),"")</f>
        <v/>
      </c>
      <c r="E51" s="26" t="str">
        <f>IF(NOT(ISBLANK(A51)),VLOOKUP(A51,Listados!$A$3:$D$1252,4,FALSE),"")</f>
        <v/>
      </c>
      <c r="F51" s="5" t="str">
        <f t="shared" si="1"/>
        <v/>
      </c>
      <c r="G51" s="8">
        <f t="shared" si="2"/>
        <v>0</v>
      </c>
      <c r="H51" s="8"/>
      <c r="I51" s="4" t="str">
        <f t="shared" si="3"/>
        <v/>
      </c>
    </row>
    <row r="52" spans="1:9" x14ac:dyDescent="0.2">
      <c r="A52" s="25"/>
      <c r="B52" s="25"/>
      <c r="C52" s="25"/>
      <c r="D52" s="26" t="str">
        <f>IF(NOT(ISBLANK(A52)),VLOOKUP(A52,Listados!$A$3:$D$1252,2,FALSE),"")</f>
        <v/>
      </c>
      <c r="E52" s="26" t="str">
        <f>IF(NOT(ISBLANK(A52)),VLOOKUP(A52,Listados!$A$3:$D$1252,4,FALSE),"")</f>
        <v/>
      </c>
      <c r="F52" s="5" t="str">
        <f t="shared" si="1"/>
        <v/>
      </c>
      <c r="G52" s="8">
        <f t="shared" si="2"/>
        <v>0</v>
      </c>
      <c r="H52" s="8"/>
      <c r="I52" s="4" t="str">
        <f t="shared" si="3"/>
        <v/>
      </c>
    </row>
    <row r="53" spans="1:9" x14ac:dyDescent="0.2">
      <c r="A53" s="25"/>
      <c r="B53" s="25"/>
      <c r="C53" s="25"/>
      <c r="D53" s="26" t="str">
        <f>IF(NOT(ISBLANK(A53)),VLOOKUP(A53,Listados!$A$3:$D$1252,2,FALSE),"")</f>
        <v/>
      </c>
      <c r="E53" s="26" t="str">
        <f>IF(NOT(ISBLANK(A53)),VLOOKUP(A53,Listados!$A$3:$D$1252,4,FALSE),"")</f>
        <v/>
      </c>
      <c r="F53" s="5" t="str">
        <f t="shared" si="1"/>
        <v/>
      </c>
      <c r="G53" s="8">
        <f t="shared" si="2"/>
        <v>0</v>
      </c>
      <c r="H53" s="8"/>
      <c r="I53" s="4" t="str">
        <f t="shared" si="3"/>
        <v/>
      </c>
    </row>
    <row r="54" spans="1:9" x14ac:dyDescent="0.2">
      <c r="A54" s="25"/>
      <c r="B54" s="25"/>
      <c r="C54" s="25"/>
      <c r="D54" s="26" t="str">
        <f>IF(NOT(ISBLANK(A54)),VLOOKUP(A54,Listados!$A$3:$D$1252,2,FALSE),"")</f>
        <v/>
      </c>
      <c r="E54" s="26" t="str">
        <f>IF(NOT(ISBLANK(A54)),VLOOKUP(A54,Listados!$A$3:$D$1252,4,FALSE),"")</f>
        <v/>
      </c>
      <c r="F54" s="5" t="str">
        <f t="shared" si="1"/>
        <v/>
      </c>
      <c r="G54" s="8">
        <f t="shared" si="2"/>
        <v>0</v>
      </c>
      <c r="H54" s="8"/>
      <c r="I54" s="4" t="str">
        <f t="shared" si="3"/>
        <v/>
      </c>
    </row>
    <row r="55" spans="1:9" x14ac:dyDescent="0.2">
      <c r="A55" s="25"/>
      <c r="B55" s="25"/>
      <c r="C55" s="25"/>
      <c r="D55" s="26" t="str">
        <f>IF(NOT(ISBLANK(A55)),VLOOKUP(A55,Listados!$A$3:$D$1252,2,FALSE),"")</f>
        <v/>
      </c>
      <c r="E55" s="26" t="str">
        <f>IF(NOT(ISBLANK(A55)),VLOOKUP(A55,Listados!$A$3:$D$1252,4,FALSE),"")</f>
        <v/>
      </c>
      <c r="F55" s="5" t="str">
        <f t="shared" si="1"/>
        <v/>
      </c>
      <c r="G55" s="8">
        <f t="shared" si="2"/>
        <v>0</v>
      </c>
      <c r="H55" s="8"/>
      <c r="I55" s="4" t="str">
        <f t="shared" si="3"/>
        <v/>
      </c>
    </row>
    <row r="56" spans="1:9" x14ac:dyDescent="0.2">
      <c r="A56" s="25"/>
      <c r="B56" s="25"/>
      <c r="C56" s="25"/>
      <c r="D56" s="26" t="str">
        <f>IF(NOT(ISBLANK(A56)),VLOOKUP(A56,Listados!$A$3:$D$1252,2,FALSE),"")</f>
        <v/>
      </c>
      <c r="E56" s="26" t="str">
        <f>IF(NOT(ISBLANK(A56)),VLOOKUP(A56,Listados!$A$3:$D$1252,4,FALSE),"")</f>
        <v/>
      </c>
      <c r="F56" s="5" t="str">
        <f t="shared" si="1"/>
        <v/>
      </c>
      <c r="G56" s="8">
        <f t="shared" si="2"/>
        <v>0</v>
      </c>
      <c r="H56" s="8"/>
      <c r="I56" s="4" t="str">
        <f t="shared" si="3"/>
        <v/>
      </c>
    </row>
    <row r="57" spans="1:9" x14ac:dyDescent="0.2">
      <c r="A57" s="25"/>
      <c r="B57" s="25"/>
      <c r="C57" s="25"/>
      <c r="D57" s="26" t="str">
        <f>IF(NOT(ISBLANK(A57)),VLOOKUP(A57,Listados!$A$3:$D$1252,2,FALSE),"")</f>
        <v/>
      </c>
      <c r="E57" s="26" t="str">
        <f>IF(NOT(ISBLANK(A57)),VLOOKUP(A57,Listados!$A$3:$D$1252,4,FALSE),"")</f>
        <v/>
      </c>
      <c r="F57" s="5" t="str">
        <f t="shared" si="1"/>
        <v/>
      </c>
      <c r="G57" s="8">
        <f t="shared" si="2"/>
        <v>0</v>
      </c>
      <c r="H57" s="8"/>
      <c r="I57" s="4" t="str">
        <f t="shared" si="3"/>
        <v/>
      </c>
    </row>
    <row r="58" spans="1:9" x14ac:dyDescent="0.2">
      <c r="A58" s="25"/>
      <c r="B58" s="25"/>
      <c r="C58" s="25"/>
      <c r="D58" s="26" t="str">
        <f>IF(NOT(ISBLANK(A58)),VLOOKUP(A58,Listados!$A$3:$D$1252,2,FALSE),"")</f>
        <v/>
      </c>
      <c r="E58" s="26" t="str">
        <f>IF(NOT(ISBLANK(A58)),VLOOKUP(A58,Listados!$A$3:$D$1252,4,FALSE),"")</f>
        <v/>
      </c>
      <c r="F58" s="5" t="str">
        <f t="shared" si="1"/>
        <v/>
      </c>
      <c r="G58" s="8">
        <f t="shared" si="2"/>
        <v>0</v>
      </c>
      <c r="H58" s="8"/>
      <c r="I58" s="4" t="str">
        <f t="shared" si="3"/>
        <v/>
      </c>
    </row>
    <row r="59" spans="1:9" x14ac:dyDescent="0.2">
      <c r="A59" s="25"/>
      <c r="B59" s="25"/>
      <c r="C59" s="25"/>
      <c r="D59" s="26" t="str">
        <f>IF(NOT(ISBLANK(A59)),VLOOKUP(A59,Listados!$A$3:$D$1252,2,FALSE),"")</f>
        <v/>
      </c>
      <c r="E59" s="26" t="str">
        <f>IF(NOT(ISBLANK(A59)),VLOOKUP(A59,Listados!$A$3:$D$1252,4,FALSE),"")</f>
        <v/>
      </c>
      <c r="F59" s="5" t="str">
        <f t="shared" si="1"/>
        <v/>
      </c>
      <c r="G59" s="8">
        <f t="shared" si="2"/>
        <v>0</v>
      </c>
      <c r="H59" s="8"/>
      <c r="I59" s="4" t="str">
        <f t="shared" si="3"/>
        <v/>
      </c>
    </row>
    <row r="60" spans="1:9" x14ac:dyDescent="0.2">
      <c r="A60" s="25"/>
      <c r="B60" s="25"/>
      <c r="C60" s="25"/>
      <c r="D60" s="26" t="str">
        <f>IF(NOT(ISBLANK(A60)),VLOOKUP(A60,Listados!$A$3:$D$1252,2,FALSE),"")</f>
        <v/>
      </c>
      <c r="E60" s="26" t="str">
        <f>IF(NOT(ISBLANK(A60)),VLOOKUP(A60,Listados!$A$3:$D$1252,4,FALSE),"")</f>
        <v/>
      </c>
      <c r="F60" s="5" t="str">
        <f t="shared" si="1"/>
        <v/>
      </c>
      <c r="G60" s="8">
        <f t="shared" si="2"/>
        <v>0</v>
      </c>
      <c r="H60" s="8"/>
      <c r="I60" s="4" t="str">
        <f t="shared" si="3"/>
        <v/>
      </c>
    </row>
    <row r="61" spans="1:9" x14ac:dyDescent="0.2">
      <c r="A61" s="25"/>
      <c r="B61" s="25"/>
      <c r="C61" s="25"/>
      <c r="D61" s="26" t="str">
        <f>IF(NOT(ISBLANK(A61)),VLOOKUP(A61,Listados!$A$3:$D$1252,2,FALSE),"")</f>
        <v/>
      </c>
      <c r="E61" s="26" t="str">
        <f>IF(NOT(ISBLANK(A61)),VLOOKUP(A61,Listados!$A$3:$D$1252,4,FALSE),"")</f>
        <v/>
      </c>
      <c r="F61" s="5" t="str">
        <f t="shared" si="1"/>
        <v/>
      </c>
      <c r="G61" s="8">
        <f t="shared" si="2"/>
        <v>0</v>
      </c>
      <c r="H61" s="8"/>
      <c r="I61" s="4" t="str">
        <f t="shared" si="3"/>
        <v/>
      </c>
    </row>
    <row r="62" spans="1:9" x14ac:dyDescent="0.2">
      <c r="A62" s="25"/>
      <c r="B62" s="25"/>
      <c r="C62" s="25"/>
      <c r="D62" s="26" t="str">
        <f>IF(NOT(ISBLANK(A62)),VLOOKUP(A62,Listados!$A$3:$D$1252,2,FALSE),"")</f>
        <v/>
      </c>
      <c r="E62" s="26" t="str">
        <f>IF(NOT(ISBLANK(A62)),VLOOKUP(A62,Listados!$A$3:$D$1252,4,FALSE),"")</f>
        <v/>
      </c>
      <c r="F62" s="5" t="str">
        <f t="shared" si="1"/>
        <v/>
      </c>
      <c r="G62" s="8">
        <f t="shared" si="2"/>
        <v>0</v>
      </c>
      <c r="H62" s="8"/>
      <c r="I62" s="4" t="str">
        <f t="shared" si="3"/>
        <v/>
      </c>
    </row>
    <row r="63" spans="1:9" x14ac:dyDescent="0.2">
      <c r="A63" s="25"/>
      <c r="B63" s="25"/>
      <c r="C63" s="25"/>
      <c r="D63" s="26" t="str">
        <f>IF(NOT(ISBLANK(A63)),VLOOKUP(A63,Listados!$A$3:$D$1252,2,FALSE),"")</f>
        <v/>
      </c>
      <c r="E63" s="26" t="str">
        <f>IF(NOT(ISBLANK(A63)),VLOOKUP(A63,Listados!$A$3:$D$1252,4,FALSE),"")</f>
        <v/>
      </c>
      <c r="F63" s="5" t="str">
        <f t="shared" si="1"/>
        <v/>
      </c>
      <c r="G63" s="8">
        <f t="shared" si="2"/>
        <v>0</v>
      </c>
      <c r="H63" s="8"/>
      <c r="I63" s="4" t="str">
        <f t="shared" si="3"/>
        <v/>
      </c>
    </row>
    <row r="64" spans="1:9" x14ac:dyDescent="0.2">
      <c r="A64" s="25"/>
      <c r="B64" s="25"/>
      <c r="C64" s="25"/>
      <c r="D64" s="26" t="str">
        <f>IF(NOT(ISBLANK(A64)),VLOOKUP(A64,Listados!$A$3:$D$1252,2,FALSE),"")</f>
        <v/>
      </c>
      <c r="E64" s="26" t="str">
        <f>IF(NOT(ISBLANK(A64)),VLOOKUP(A64,Listados!$A$3:$D$1252,4,FALSE),"")</f>
        <v/>
      </c>
      <c r="F64" s="5" t="str">
        <f t="shared" si="1"/>
        <v/>
      </c>
      <c r="G64" s="8">
        <f t="shared" si="2"/>
        <v>0</v>
      </c>
      <c r="H64" s="8"/>
      <c r="I64" s="4" t="str">
        <f t="shared" si="3"/>
        <v/>
      </c>
    </row>
    <row r="65" spans="1:9" x14ac:dyDescent="0.2">
      <c r="A65" s="25"/>
      <c r="B65" s="25"/>
      <c r="C65" s="25"/>
      <c r="D65" s="26" t="str">
        <f>IF(NOT(ISBLANK(A65)),VLOOKUP(A65,Listados!$A$3:$D$1252,2,FALSE),"")</f>
        <v/>
      </c>
      <c r="E65" s="26" t="str">
        <f>IF(NOT(ISBLANK(A65)),VLOOKUP(A65,Listados!$A$3:$D$1252,4,FALSE),"")</f>
        <v/>
      </c>
      <c r="F65" s="5" t="str">
        <f t="shared" si="1"/>
        <v/>
      </c>
      <c r="G65" s="8">
        <f t="shared" si="2"/>
        <v>0</v>
      </c>
      <c r="H65" s="8"/>
      <c r="I65" s="4" t="str">
        <f t="shared" si="3"/>
        <v/>
      </c>
    </row>
    <row r="66" spans="1:9" x14ac:dyDescent="0.2">
      <c r="A66" s="25"/>
      <c r="B66" s="25"/>
      <c r="C66" s="25"/>
      <c r="D66" s="26" t="str">
        <f>IF(NOT(ISBLANK(A66)),VLOOKUP(A66,Listados!$A$3:$D$1252,2,FALSE),"")</f>
        <v/>
      </c>
      <c r="E66" s="26" t="str">
        <f>IF(NOT(ISBLANK(A66)),VLOOKUP(A66,Listados!$A$3:$D$1252,4,FALSE),"")</f>
        <v/>
      </c>
      <c r="F66" s="5" t="str">
        <f t="shared" si="1"/>
        <v/>
      </c>
      <c r="G66" s="8">
        <f t="shared" si="2"/>
        <v>0</v>
      </c>
      <c r="H66" s="8"/>
      <c r="I66" s="4" t="str">
        <f t="shared" si="3"/>
        <v/>
      </c>
    </row>
    <row r="67" spans="1:9" x14ac:dyDescent="0.2">
      <c r="A67" s="25"/>
      <c r="B67" s="25"/>
      <c r="C67" s="25"/>
      <c r="D67" s="26" t="str">
        <f>IF(NOT(ISBLANK(A67)),VLOOKUP(A67,Listados!$A$3:$D$1252,2,FALSE),"")</f>
        <v/>
      </c>
      <c r="E67" s="26" t="str">
        <f>IF(NOT(ISBLANK(A67)),VLOOKUP(A67,Listados!$A$3:$D$1252,4,FALSE),"")</f>
        <v/>
      </c>
      <c r="F67" s="5" t="str">
        <f t="shared" si="1"/>
        <v/>
      </c>
      <c r="G67" s="8">
        <f t="shared" si="2"/>
        <v>0</v>
      </c>
      <c r="H67" s="8"/>
      <c r="I67" s="4" t="str">
        <f t="shared" si="3"/>
        <v/>
      </c>
    </row>
    <row r="68" spans="1:9" x14ac:dyDescent="0.2">
      <c r="A68" s="25"/>
      <c r="B68" s="25"/>
      <c r="C68" s="25"/>
      <c r="D68" s="26" t="str">
        <f>IF(NOT(ISBLANK(A68)),VLOOKUP(A68,Listados!$A$3:$D$1252,2,FALSE),"")</f>
        <v/>
      </c>
      <c r="E68" s="26" t="str">
        <f>IF(NOT(ISBLANK(A68)),VLOOKUP(A68,Listados!$A$3:$D$1252,4,FALSE),"")</f>
        <v/>
      </c>
      <c r="F68" s="5" t="str">
        <f t="shared" si="1"/>
        <v/>
      </c>
      <c r="G68" s="8">
        <f t="shared" si="2"/>
        <v>0</v>
      </c>
      <c r="H68" s="8"/>
      <c r="I68" s="4" t="str">
        <f t="shared" si="3"/>
        <v/>
      </c>
    </row>
    <row r="69" spans="1:9" x14ac:dyDescent="0.2">
      <c r="A69" s="25"/>
      <c r="B69" s="25"/>
      <c r="C69" s="25"/>
      <c r="D69" s="26" t="str">
        <f>IF(NOT(ISBLANK(A69)),VLOOKUP(A69,Listados!$A$3:$D$1252,2,FALSE),"")</f>
        <v/>
      </c>
      <c r="E69" s="26" t="str">
        <f>IF(NOT(ISBLANK(A69)),VLOOKUP(A69,Listados!$A$3:$D$1252,4,FALSE),"")</f>
        <v/>
      </c>
      <c r="F69" s="5" t="str">
        <f t="shared" si="1"/>
        <v/>
      </c>
      <c r="G69" s="8">
        <f t="shared" si="2"/>
        <v>0</v>
      </c>
      <c r="H69" s="8"/>
      <c r="I69" s="4" t="str">
        <f t="shared" si="3"/>
        <v/>
      </c>
    </row>
    <row r="70" spans="1:9" x14ac:dyDescent="0.2">
      <c r="A70" s="25"/>
      <c r="B70" s="25"/>
      <c r="C70" s="25"/>
      <c r="D70" s="26" t="str">
        <f>IF(NOT(ISBLANK(A70)),VLOOKUP(A70,Listados!$A$3:$D$1252,2,FALSE),"")</f>
        <v/>
      </c>
      <c r="E70" s="26" t="str">
        <f>IF(NOT(ISBLANK(A70)),VLOOKUP(A70,Listados!$A$3:$D$1252,4,FALSE),"")</f>
        <v/>
      </c>
      <c r="F70" s="5" t="str">
        <f t="shared" si="1"/>
        <v/>
      </c>
      <c r="G70" s="8">
        <f t="shared" si="2"/>
        <v>0</v>
      </c>
      <c r="H70" s="8"/>
      <c r="I70" s="4" t="str">
        <f t="shared" si="3"/>
        <v/>
      </c>
    </row>
    <row r="71" spans="1:9" x14ac:dyDescent="0.2">
      <c r="A71" s="25"/>
      <c r="B71" s="25"/>
      <c r="C71" s="25"/>
      <c r="D71" s="26" t="str">
        <f>IF(NOT(ISBLANK(A71)),VLOOKUP(A71,Listados!$A$3:$D$1252,2,FALSE),"")</f>
        <v/>
      </c>
      <c r="E71" s="26" t="str">
        <f>IF(NOT(ISBLANK(A71)),VLOOKUP(A71,Listados!$A$3:$D$1252,4,FALSE),"")</f>
        <v/>
      </c>
      <c r="F71" s="5" t="str">
        <f t="shared" si="1"/>
        <v/>
      </c>
      <c r="G71" s="8">
        <f t="shared" si="2"/>
        <v>0</v>
      </c>
      <c r="H71" s="8"/>
      <c r="I71" s="4" t="str">
        <f t="shared" si="3"/>
        <v/>
      </c>
    </row>
    <row r="72" spans="1:9" x14ac:dyDescent="0.2">
      <c r="A72" s="25"/>
      <c r="B72" s="25"/>
      <c r="C72" s="25"/>
      <c r="D72" s="26" t="str">
        <f>IF(NOT(ISBLANK(A72)),VLOOKUP(A72,Listados!$A$3:$D$1252,2,FALSE),"")</f>
        <v/>
      </c>
      <c r="E72" s="26" t="str">
        <f>IF(NOT(ISBLANK(A72)),VLOOKUP(A72,Listados!$A$3:$D$1252,4,FALSE),"")</f>
        <v/>
      </c>
      <c r="F72" s="5" t="str">
        <f t="shared" si="1"/>
        <v/>
      </c>
      <c r="G72" s="8">
        <f t="shared" si="2"/>
        <v>0</v>
      </c>
      <c r="H72" s="8"/>
      <c r="I72" s="4" t="str">
        <f t="shared" si="3"/>
        <v/>
      </c>
    </row>
    <row r="73" spans="1:9" x14ac:dyDescent="0.2">
      <c r="A73" s="25"/>
      <c r="B73" s="25"/>
      <c r="C73" s="25"/>
      <c r="D73" s="26" t="str">
        <f>IF(NOT(ISBLANK(A73)),VLOOKUP(A73,Listados!$A$3:$D$1252,2,FALSE),"")</f>
        <v/>
      </c>
      <c r="E73" s="26" t="str">
        <f>IF(NOT(ISBLANK(A73)),VLOOKUP(A73,Listados!$A$3:$D$1252,4,FALSE),"")</f>
        <v/>
      </c>
      <c r="F73" s="5" t="str">
        <f t="shared" si="1"/>
        <v/>
      </c>
      <c r="G73" s="8">
        <f t="shared" si="2"/>
        <v>0</v>
      </c>
      <c r="H73" s="8"/>
      <c r="I73" s="4" t="str">
        <f t="shared" si="3"/>
        <v/>
      </c>
    </row>
    <row r="74" spans="1:9" x14ac:dyDescent="0.2">
      <c r="A74" s="25"/>
      <c r="B74" s="25"/>
      <c r="C74" s="25"/>
      <c r="D74" s="26" t="str">
        <f>IF(NOT(ISBLANK(A74)),VLOOKUP(A74,Listados!$A$3:$D$1252,2,FALSE),"")</f>
        <v/>
      </c>
      <c r="E74" s="26" t="str">
        <f>IF(NOT(ISBLANK(A74)),VLOOKUP(A74,Listados!$A$3:$D$1252,4,FALSE),"")</f>
        <v/>
      </c>
      <c r="F74" s="5" t="str">
        <f t="shared" si="1"/>
        <v/>
      </c>
      <c r="G74" s="8">
        <f t="shared" si="2"/>
        <v>0</v>
      </c>
      <c r="H74" s="8"/>
      <c r="I74" s="4" t="str">
        <f t="shared" si="3"/>
        <v/>
      </c>
    </row>
    <row r="75" spans="1:9" x14ac:dyDescent="0.2">
      <c r="A75" s="25"/>
      <c r="B75" s="25"/>
      <c r="C75" s="25"/>
      <c r="D75" s="26" t="str">
        <f>IF(NOT(ISBLANK(A75)),VLOOKUP(A75,Listados!$A$3:$D$1252,2,FALSE),"")</f>
        <v/>
      </c>
      <c r="E75" s="26" t="str">
        <f>IF(NOT(ISBLANK(A75)),VLOOKUP(A75,Listados!$A$3:$D$1252,4,FALSE),"")</f>
        <v/>
      </c>
      <c r="F75" s="5" t="str">
        <f t="shared" si="1"/>
        <v/>
      </c>
      <c r="G75" s="8">
        <f t="shared" si="2"/>
        <v>0</v>
      </c>
      <c r="H75" s="8"/>
      <c r="I75" s="4" t="str">
        <f t="shared" si="3"/>
        <v/>
      </c>
    </row>
    <row r="76" spans="1:9" x14ac:dyDescent="0.2">
      <c r="A76" s="25"/>
      <c r="B76" s="25"/>
      <c r="C76" s="25"/>
      <c r="D76" s="26" t="str">
        <f>IF(NOT(ISBLANK(A76)),VLOOKUP(A76,Listados!$A$3:$D$1252,2,FALSE),"")</f>
        <v/>
      </c>
      <c r="E76" s="26" t="str">
        <f>IF(NOT(ISBLANK(A76)),VLOOKUP(A76,Listados!$A$3:$D$1252,4,FALSE),"")</f>
        <v/>
      </c>
      <c r="F76" s="5" t="str">
        <f t="shared" si="1"/>
        <v/>
      </c>
      <c r="G76" s="8">
        <f t="shared" si="2"/>
        <v>0</v>
      </c>
      <c r="H76" s="8"/>
      <c r="I76" s="4" t="str">
        <f t="shared" si="3"/>
        <v/>
      </c>
    </row>
    <row r="77" spans="1:9" x14ac:dyDescent="0.2">
      <c r="A77" s="25"/>
      <c r="B77" s="25"/>
      <c r="C77" s="25"/>
      <c r="D77" s="26" t="str">
        <f>IF(NOT(ISBLANK(A77)),VLOOKUP(A77,Listados!$A$3:$D$1252,2,FALSE),"")</f>
        <v/>
      </c>
      <c r="E77" s="26" t="str">
        <f>IF(NOT(ISBLANK(A77)),VLOOKUP(A77,Listados!$A$3:$D$1252,4,FALSE),"")</f>
        <v/>
      </c>
      <c r="F77" s="5" t="str">
        <f t="shared" si="1"/>
        <v/>
      </c>
      <c r="G77" s="8">
        <f t="shared" si="2"/>
        <v>0</v>
      </c>
      <c r="H77" s="8"/>
      <c r="I77" s="4" t="str">
        <f t="shared" si="3"/>
        <v/>
      </c>
    </row>
    <row r="78" spans="1:9" x14ac:dyDescent="0.2">
      <c r="A78" s="25"/>
      <c r="B78" s="25"/>
      <c r="C78" s="25"/>
      <c r="D78" s="26" t="str">
        <f>IF(NOT(ISBLANK(A78)),VLOOKUP(A78,Listados!$A$3:$D$1252,2,FALSE),"")</f>
        <v/>
      </c>
      <c r="E78" s="26" t="str">
        <f>IF(NOT(ISBLANK(A78)),VLOOKUP(A78,Listados!$A$3:$D$1252,4,FALSE),"")</f>
        <v/>
      </c>
      <c r="F78" s="5" t="str">
        <f t="shared" si="1"/>
        <v/>
      </c>
      <c r="G78" s="8">
        <f t="shared" si="2"/>
        <v>0</v>
      </c>
      <c r="H78" s="8"/>
      <c r="I78" s="4" t="str">
        <f t="shared" si="3"/>
        <v/>
      </c>
    </row>
    <row r="79" spans="1:9" x14ac:dyDescent="0.2">
      <c r="A79" s="25"/>
      <c r="B79" s="25"/>
      <c r="C79" s="25"/>
      <c r="D79" s="26" t="str">
        <f>IF(NOT(ISBLANK(A79)),VLOOKUP(A79,Listados!$A$3:$D$1252,2,FALSE),"")</f>
        <v/>
      </c>
      <c r="E79" s="26" t="str">
        <f>IF(NOT(ISBLANK(A79)),VLOOKUP(A79,Listados!$A$3:$D$1252,4,FALSE),"")</f>
        <v/>
      </c>
      <c r="F79" s="5" t="str">
        <f t="shared" si="1"/>
        <v/>
      </c>
      <c r="G79" s="8">
        <f t="shared" si="2"/>
        <v>0</v>
      </c>
      <c r="H79" s="8"/>
      <c r="I79" s="4" t="str">
        <f t="shared" si="3"/>
        <v/>
      </c>
    </row>
    <row r="80" spans="1:9" x14ac:dyDescent="0.2">
      <c r="A80" s="25"/>
      <c r="B80" s="25"/>
      <c r="C80" s="25"/>
      <c r="D80" s="26" t="str">
        <f>IF(NOT(ISBLANK(A80)),VLOOKUP(A80,Listados!$A$3:$D$1252,2,FALSE),"")</f>
        <v/>
      </c>
      <c r="E80" s="26" t="str">
        <f>IF(NOT(ISBLANK(A80)),VLOOKUP(A80,Listados!$A$3:$D$1252,4,FALSE),"")</f>
        <v/>
      </c>
      <c r="F80" s="5" t="str">
        <f t="shared" ref="F80:F143" si="4">IF(ISERROR(D80),"El código de ciudad no es válido",IF(AND(NOT(ISNUMBER(SUM(B80:C80))),NOT(A80="")),"Escriba la muestra para esta ciudad",""))</f>
        <v/>
      </c>
      <c r="G80" s="8">
        <f t="shared" ref="G80:G143" si="5">IF(NOT(F80=""),1,0)</f>
        <v>0</v>
      </c>
      <c r="H80" s="8"/>
      <c r="I80" s="4" t="str">
        <f t="shared" si="3"/>
        <v/>
      </c>
    </row>
    <row r="81" spans="1:9" x14ac:dyDescent="0.2">
      <c r="A81" s="25"/>
      <c r="B81" s="25"/>
      <c r="C81" s="25"/>
      <c r="D81" s="26" t="str">
        <f>IF(NOT(ISBLANK(A81)),VLOOKUP(A81,Listados!$A$3:$D$1252,2,FALSE),"")</f>
        <v/>
      </c>
      <c r="E81" s="26" t="str">
        <f>IF(NOT(ISBLANK(A81)),VLOOKUP(A81,Listados!$A$3:$D$1252,4,FALSE),"")</f>
        <v/>
      </c>
      <c r="F81" s="5" t="str">
        <f t="shared" si="4"/>
        <v/>
      </c>
      <c r="G81" s="8">
        <f t="shared" si="5"/>
        <v>0</v>
      </c>
      <c r="H81" s="8"/>
      <c r="I81" s="4" t="str">
        <f t="shared" ref="I81:I144" si="6">_xlfn.CONCAT(IF(AND(NOT(A81=""),ISNUMBER(B81)),"EXEC [dbo].[IQ_InsertarMuestra_WORK] "&amp;A81&amp;", "&amp;B81&amp;", 40, "&amp;$I$8&amp;", "&amp;$I$11&amp;", "&amp;$I$10&amp;", "&amp;$I$9&amp;";",""),IF(AND(NOT(A81=""),ISNUMBER(C81)),"EXEC [dbo].[IQ_InsertarMuestra_WORK] "&amp;A81&amp;", "&amp;C81&amp;", 50, "&amp;$I$8&amp;", "&amp;$I$11&amp;", "&amp;$I$10&amp;", "&amp;$I$9&amp;";",""))</f>
        <v/>
      </c>
    </row>
    <row r="82" spans="1:9" x14ac:dyDescent="0.2">
      <c r="A82" s="25"/>
      <c r="B82" s="25"/>
      <c r="C82" s="25"/>
      <c r="D82" s="26" t="str">
        <f>IF(NOT(ISBLANK(A82)),VLOOKUP(A82,Listados!$A$3:$D$1252,2,FALSE),"")</f>
        <v/>
      </c>
      <c r="E82" s="26" t="str">
        <f>IF(NOT(ISBLANK(A82)),VLOOKUP(A82,Listados!$A$3:$D$1252,4,FALSE),"")</f>
        <v/>
      </c>
      <c r="F82" s="5" t="str">
        <f t="shared" si="4"/>
        <v/>
      </c>
      <c r="G82" s="8">
        <f t="shared" si="5"/>
        <v>0</v>
      </c>
      <c r="H82" s="8"/>
      <c r="I82" s="4" t="str">
        <f t="shared" si="6"/>
        <v/>
      </c>
    </row>
    <row r="83" spans="1:9" x14ac:dyDescent="0.2">
      <c r="A83" s="25"/>
      <c r="B83" s="25"/>
      <c r="C83" s="25"/>
      <c r="D83" s="26" t="str">
        <f>IF(NOT(ISBLANK(A83)),VLOOKUP(A83,Listados!$A$3:$D$1252,2,FALSE),"")</f>
        <v/>
      </c>
      <c r="E83" s="26" t="str">
        <f>IF(NOT(ISBLANK(A83)),VLOOKUP(A83,Listados!$A$3:$D$1252,4,FALSE),"")</f>
        <v/>
      </c>
      <c r="F83" s="5" t="str">
        <f t="shared" si="4"/>
        <v/>
      </c>
      <c r="G83" s="8">
        <f t="shared" si="5"/>
        <v>0</v>
      </c>
      <c r="H83" s="8"/>
      <c r="I83" s="4" t="str">
        <f t="shared" si="6"/>
        <v/>
      </c>
    </row>
    <row r="84" spans="1:9" x14ac:dyDescent="0.2">
      <c r="A84" s="25"/>
      <c r="B84" s="25"/>
      <c r="C84" s="25"/>
      <c r="D84" s="26" t="str">
        <f>IF(NOT(ISBLANK(A84)),VLOOKUP(A84,Listados!$A$3:$D$1252,2,FALSE),"")</f>
        <v/>
      </c>
      <c r="E84" s="26" t="str">
        <f>IF(NOT(ISBLANK(A84)),VLOOKUP(A84,Listados!$A$3:$D$1252,4,FALSE),"")</f>
        <v/>
      </c>
      <c r="F84" s="5" t="str">
        <f t="shared" si="4"/>
        <v/>
      </c>
      <c r="G84" s="8">
        <f t="shared" si="5"/>
        <v>0</v>
      </c>
      <c r="H84" s="8"/>
      <c r="I84" s="4" t="str">
        <f t="shared" si="6"/>
        <v/>
      </c>
    </row>
    <row r="85" spans="1:9" x14ac:dyDescent="0.2">
      <c r="A85" s="25"/>
      <c r="B85" s="25"/>
      <c r="C85" s="25"/>
      <c r="D85" s="26" t="str">
        <f>IF(NOT(ISBLANK(A85)),VLOOKUP(A85,Listados!$A$3:$D$1252,2,FALSE),"")</f>
        <v/>
      </c>
      <c r="E85" s="26" t="str">
        <f>IF(NOT(ISBLANK(A85)),VLOOKUP(A85,Listados!$A$3:$D$1252,4,FALSE),"")</f>
        <v/>
      </c>
      <c r="F85" s="5" t="str">
        <f t="shared" si="4"/>
        <v/>
      </c>
      <c r="G85" s="8">
        <f t="shared" si="5"/>
        <v>0</v>
      </c>
      <c r="H85" s="8"/>
      <c r="I85" s="4" t="str">
        <f t="shared" si="6"/>
        <v/>
      </c>
    </row>
    <row r="86" spans="1:9" x14ac:dyDescent="0.2">
      <c r="A86" s="25"/>
      <c r="B86" s="25"/>
      <c r="C86" s="25"/>
      <c r="D86" s="26" t="str">
        <f>IF(NOT(ISBLANK(A86)),VLOOKUP(A86,Listados!$A$3:$D$1252,2,FALSE),"")</f>
        <v/>
      </c>
      <c r="E86" s="26" t="str">
        <f>IF(NOT(ISBLANK(A86)),VLOOKUP(A86,Listados!$A$3:$D$1252,4,FALSE),"")</f>
        <v/>
      </c>
      <c r="F86" s="5" t="str">
        <f t="shared" si="4"/>
        <v/>
      </c>
      <c r="G86" s="8">
        <f t="shared" si="5"/>
        <v>0</v>
      </c>
      <c r="H86" s="8"/>
      <c r="I86" s="4" t="str">
        <f t="shared" si="6"/>
        <v/>
      </c>
    </row>
    <row r="87" spans="1:9" x14ac:dyDescent="0.2">
      <c r="A87" s="25"/>
      <c r="B87" s="25"/>
      <c r="C87" s="25"/>
      <c r="D87" s="26" t="str">
        <f>IF(NOT(ISBLANK(A87)),VLOOKUP(A87,Listados!$A$3:$D$1252,2,FALSE),"")</f>
        <v/>
      </c>
      <c r="E87" s="26" t="str">
        <f>IF(NOT(ISBLANK(A87)),VLOOKUP(A87,Listados!$A$3:$D$1252,4,FALSE),"")</f>
        <v/>
      </c>
      <c r="F87" s="5" t="str">
        <f t="shared" si="4"/>
        <v/>
      </c>
      <c r="G87" s="8">
        <f t="shared" si="5"/>
        <v>0</v>
      </c>
      <c r="H87" s="8"/>
      <c r="I87" s="4" t="str">
        <f t="shared" si="6"/>
        <v/>
      </c>
    </row>
    <row r="88" spans="1:9" x14ac:dyDescent="0.2">
      <c r="A88" s="25"/>
      <c r="B88" s="25"/>
      <c r="C88" s="25"/>
      <c r="D88" s="26" t="str">
        <f>IF(NOT(ISBLANK(A88)),VLOOKUP(A88,Listados!$A$3:$D$1252,2,FALSE),"")</f>
        <v/>
      </c>
      <c r="E88" s="26" t="str">
        <f>IF(NOT(ISBLANK(A88)),VLOOKUP(A88,Listados!$A$3:$D$1252,4,FALSE),"")</f>
        <v/>
      </c>
      <c r="F88" s="5" t="str">
        <f t="shared" si="4"/>
        <v/>
      </c>
      <c r="G88" s="8">
        <f t="shared" si="5"/>
        <v>0</v>
      </c>
      <c r="H88" s="8"/>
      <c r="I88" s="4" t="str">
        <f t="shared" si="6"/>
        <v/>
      </c>
    </row>
    <row r="89" spans="1:9" x14ac:dyDescent="0.2">
      <c r="A89" s="25"/>
      <c r="B89" s="25"/>
      <c r="C89" s="25"/>
      <c r="D89" s="26" t="str">
        <f>IF(NOT(ISBLANK(A89)),VLOOKUP(A89,Listados!$A$3:$D$1252,2,FALSE),"")</f>
        <v/>
      </c>
      <c r="E89" s="26" t="str">
        <f>IF(NOT(ISBLANK(A89)),VLOOKUP(A89,Listados!$A$3:$D$1252,4,FALSE),"")</f>
        <v/>
      </c>
      <c r="F89" s="5" t="str">
        <f t="shared" si="4"/>
        <v/>
      </c>
      <c r="G89" s="8">
        <f t="shared" si="5"/>
        <v>0</v>
      </c>
      <c r="H89" s="8"/>
      <c r="I89" s="4" t="str">
        <f t="shared" si="6"/>
        <v/>
      </c>
    </row>
    <row r="90" spans="1:9" x14ac:dyDescent="0.2">
      <c r="A90" s="25"/>
      <c r="B90" s="25"/>
      <c r="C90" s="25"/>
      <c r="D90" s="26" t="str">
        <f>IF(NOT(ISBLANK(A90)),VLOOKUP(A90,Listados!$A$3:$D$1252,2,FALSE),"")</f>
        <v/>
      </c>
      <c r="E90" s="26" t="str">
        <f>IF(NOT(ISBLANK(A90)),VLOOKUP(A90,Listados!$A$3:$D$1252,4,FALSE),"")</f>
        <v/>
      </c>
      <c r="F90" s="5" t="str">
        <f t="shared" si="4"/>
        <v/>
      </c>
      <c r="G90" s="8">
        <f t="shared" si="5"/>
        <v>0</v>
      </c>
      <c r="H90" s="8"/>
      <c r="I90" s="4" t="str">
        <f t="shared" si="6"/>
        <v/>
      </c>
    </row>
    <row r="91" spans="1:9" x14ac:dyDescent="0.2">
      <c r="A91" s="25"/>
      <c r="B91" s="25"/>
      <c r="C91" s="25"/>
      <c r="D91" s="26" t="str">
        <f>IF(NOT(ISBLANK(A91)),VLOOKUP(A91,Listados!$A$3:$D$1252,2,FALSE),"")</f>
        <v/>
      </c>
      <c r="E91" s="26" t="str">
        <f>IF(NOT(ISBLANK(A91)),VLOOKUP(A91,Listados!$A$3:$D$1252,4,FALSE),"")</f>
        <v/>
      </c>
      <c r="F91" s="5" t="str">
        <f t="shared" si="4"/>
        <v/>
      </c>
      <c r="G91" s="8">
        <f t="shared" si="5"/>
        <v>0</v>
      </c>
      <c r="H91" s="8"/>
      <c r="I91" s="4" t="str">
        <f t="shared" si="6"/>
        <v/>
      </c>
    </row>
    <row r="92" spans="1:9" x14ac:dyDescent="0.2">
      <c r="A92" s="25"/>
      <c r="B92" s="25"/>
      <c r="C92" s="25"/>
      <c r="D92" s="26" t="str">
        <f>IF(NOT(ISBLANK(A92)),VLOOKUP(A92,Listados!$A$3:$D$1252,2,FALSE),"")</f>
        <v/>
      </c>
      <c r="E92" s="26" t="str">
        <f>IF(NOT(ISBLANK(A92)),VLOOKUP(A92,Listados!$A$3:$D$1252,4,FALSE),"")</f>
        <v/>
      </c>
      <c r="F92" s="5" t="str">
        <f t="shared" si="4"/>
        <v/>
      </c>
      <c r="G92" s="8">
        <f t="shared" si="5"/>
        <v>0</v>
      </c>
      <c r="H92" s="8"/>
      <c r="I92" s="4" t="str">
        <f t="shared" si="6"/>
        <v/>
      </c>
    </row>
    <row r="93" spans="1:9" x14ac:dyDescent="0.2">
      <c r="A93" s="25"/>
      <c r="B93" s="25"/>
      <c r="C93" s="25"/>
      <c r="D93" s="26" t="str">
        <f>IF(NOT(ISBLANK(A93)),VLOOKUP(A93,Listados!$A$3:$D$1252,2,FALSE),"")</f>
        <v/>
      </c>
      <c r="E93" s="26" t="str">
        <f>IF(NOT(ISBLANK(A93)),VLOOKUP(A93,Listados!$A$3:$D$1252,4,FALSE),"")</f>
        <v/>
      </c>
      <c r="F93" s="5" t="str">
        <f t="shared" si="4"/>
        <v/>
      </c>
      <c r="G93" s="8">
        <f t="shared" si="5"/>
        <v>0</v>
      </c>
      <c r="H93" s="8"/>
      <c r="I93" s="4" t="str">
        <f t="shared" si="6"/>
        <v/>
      </c>
    </row>
    <row r="94" spans="1:9" x14ac:dyDescent="0.2">
      <c r="A94" s="25"/>
      <c r="B94" s="25"/>
      <c r="C94" s="25"/>
      <c r="D94" s="26" t="str">
        <f>IF(NOT(ISBLANK(A94)),VLOOKUP(A94,Listados!$A$3:$D$1252,2,FALSE),"")</f>
        <v/>
      </c>
      <c r="E94" s="26" t="str">
        <f>IF(NOT(ISBLANK(A94)),VLOOKUP(A94,Listados!$A$3:$D$1252,4,FALSE),"")</f>
        <v/>
      </c>
      <c r="F94" s="5" t="str">
        <f t="shared" si="4"/>
        <v/>
      </c>
      <c r="G94" s="8">
        <f t="shared" si="5"/>
        <v>0</v>
      </c>
      <c r="H94" s="8"/>
      <c r="I94" s="4" t="str">
        <f t="shared" si="6"/>
        <v/>
      </c>
    </row>
    <row r="95" spans="1:9" x14ac:dyDescent="0.2">
      <c r="A95" s="25"/>
      <c r="B95" s="25"/>
      <c r="C95" s="25"/>
      <c r="D95" s="26" t="str">
        <f>IF(NOT(ISBLANK(A95)),VLOOKUP(A95,Listados!$A$3:$D$1252,2,FALSE),"")</f>
        <v/>
      </c>
      <c r="E95" s="26" t="str">
        <f>IF(NOT(ISBLANK(A95)),VLOOKUP(A95,Listados!$A$3:$D$1252,4,FALSE),"")</f>
        <v/>
      </c>
      <c r="F95" s="5" t="str">
        <f t="shared" si="4"/>
        <v/>
      </c>
      <c r="G95" s="8">
        <f t="shared" si="5"/>
        <v>0</v>
      </c>
      <c r="H95" s="8"/>
      <c r="I95" s="4" t="str">
        <f t="shared" si="6"/>
        <v/>
      </c>
    </row>
    <row r="96" spans="1:9" x14ac:dyDescent="0.2">
      <c r="A96" s="25"/>
      <c r="B96" s="25"/>
      <c r="C96" s="25"/>
      <c r="D96" s="26" t="str">
        <f>IF(NOT(ISBLANK(A96)),VLOOKUP(A96,Listados!$A$3:$D$1252,2,FALSE),"")</f>
        <v/>
      </c>
      <c r="E96" s="26" t="str">
        <f>IF(NOT(ISBLANK(A96)),VLOOKUP(A96,Listados!$A$3:$D$1252,4,FALSE),"")</f>
        <v/>
      </c>
      <c r="F96" s="5" t="str">
        <f t="shared" si="4"/>
        <v/>
      </c>
      <c r="G96" s="8">
        <f t="shared" si="5"/>
        <v>0</v>
      </c>
      <c r="H96" s="8"/>
      <c r="I96" s="4" t="str">
        <f t="shared" si="6"/>
        <v/>
      </c>
    </row>
    <row r="97" spans="1:9" x14ac:dyDescent="0.2">
      <c r="A97" s="25"/>
      <c r="B97" s="25"/>
      <c r="C97" s="25"/>
      <c r="D97" s="26" t="str">
        <f>IF(NOT(ISBLANK(A97)),VLOOKUP(A97,Listados!$A$3:$D$1252,2,FALSE),"")</f>
        <v/>
      </c>
      <c r="E97" s="26" t="str">
        <f>IF(NOT(ISBLANK(A97)),VLOOKUP(A97,Listados!$A$3:$D$1252,4,FALSE),"")</f>
        <v/>
      </c>
      <c r="F97" s="5" t="str">
        <f t="shared" si="4"/>
        <v/>
      </c>
      <c r="G97" s="8">
        <f t="shared" si="5"/>
        <v>0</v>
      </c>
      <c r="H97" s="8"/>
      <c r="I97" s="4" t="str">
        <f t="shared" si="6"/>
        <v/>
      </c>
    </row>
    <row r="98" spans="1:9" x14ac:dyDescent="0.2">
      <c r="A98" s="25"/>
      <c r="B98" s="25"/>
      <c r="C98" s="25"/>
      <c r="D98" s="26" t="str">
        <f>IF(NOT(ISBLANK(A98)),VLOOKUP(A98,Listados!$A$3:$D$1252,2,FALSE),"")</f>
        <v/>
      </c>
      <c r="E98" s="26" t="str">
        <f>IF(NOT(ISBLANK(A98)),VLOOKUP(A98,Listados!$A$3:$D$1252,4,FALSE),"")</f>
        <v/>
      </c>
      <c r="F98" s="5" t="str">
        <f t="shared" si="4"/>
        <v/>
      </c>
      <c r="G98" s="8">
        <f t="shared" si="5"/>
        <v>0</v>
      </c>
      <c r="H98" s="8"/>
      <c r="I98" s="4" t="str">
        <f t="shared" si="6"/>
        <v/>
      </c>
    </row>
    <row r="99" spans="1:9" x14ac:dyDescent="0.2">
      <c r="A99" s="25"/>
      <c r="B99" s="25"/>
      <c r="C99" s="25"/>
      <c r="D99" s="26" t="str">
        <f>IF(NOT(ISBLANK(A99)),VLOOKUP(A99,Listados!$A$3:$D$1252,2,FALSE),"")</f>
        <v/>
      </c>
      <c r="E99" s="26" t="str">
        <f>IF(NOT(ISBLANK(A99)),VLOOKUP(A99,Listados!$A$3:$D$1252,4,FALSE),"")</f>
        <v/>
      </c>
      <c r="F99" s="5" t="str">
        <f t="shared" si="4"/>
        <v/>
      </c>
      <c r="G99" s="8">
        <f t="shared" si="5"/>
        <v>0</v>
      </c>
      <c r="H99" s="8"/>
      <c r="I99" s="4" t="str">
        <f t="shared" si="6"/>
        <v/>
      </c>
    </row>
    <row r="100" spans="1:9" x14ac:dyDescent="0.2">
      <c r="A100" s="25"/>
      <c r="B100" s="25"/>
      <c r="C100" s="25"/>
      <c r="D100" s="26" t="str">
        <f>IF(NOT(ISBLANK(A100)),VLOOKUP(A100,Listados!$A$3:$D$1252,2,FALSE),"")</f>
        <v/>
      </c>
      <c r="E100" s="26" t="str">
        <f>IF(NOT(ISBLANK(A100)),VLOOKUP(A100,Listados!$A$3:$D$1252,4,FALSE),"")</f>
        <v/>
      </c>
      <c r="F100" s="5" t="str">
        <f t="shared" si="4"/>
        <v/>
      </c>
      <c r="G100" s="8">
        <f t="shared" si="5"/>
        <v>0</v>
      </c>
      <c r="H100" s="8"/>
      <c r="I100" s="4" t="str">
        <f t="shared" si="6"/>
        <v/>
      </c>
    </row>
    <row r="101" spans="1:9" x14ac:dyDescent="0.2">
      <c r="A101" s="25"/>
      <c r="B101" s="25"/>
      <c r="C101" s="25"/>
      <c r="D101" s="26" t="str">
        <f>IF(NOT(ISBLANK(A101)),VLOOKUP(A101,Listados!$A$3:$D$1252,2,FALSE),"")</f>
        <v/>
      </c>
      <c r="E101" s="26" t="str">
        <f>IF(NOT(ISBLANK(A101)),VLOOKUP(A101,Listados!$A$3:$D$1252,4,FALSE),"")</f>
        <v/>
      </c>
      <c r="F101" s="5" t="str">
        <f t="shared" si="4"/>
        <v/>
      </c>
      <c r="G101" s="8">
        <f t="shared" si="5"/>
        <v>0</v>
      </c>
      <c r="H101" s="8"/>
      <c r="I101" s="4" t="str">
        <f t="shared" si="6"/>
        <v/>
      </c>
    </row>
    <row r="102" spans="1:9" x14ac:dyDescent="0.2">
      <c r="A102" s="25"/>
      <c r="B102" s="25"/>
      <c r="C102" s="25"/>
      <c r="D102" s="26" t="str">
        <f>IF(NOT(ISBLANK(A102)),VLOOKUP(A102,Listados!$A$3:$D$1252,2,FALSE),"")</f>
        <v/>
      </c>
      <c r="E102" s="26" t="str">
        <f>IF(NOT(ISBLANK(A102)),VLOOKUP(A102,Listados!$A$3:$D$1252,4,FALSE),"")</f>
        <v/>
      </c>
      <c r="F102" s="5" t="str">
        <f t="shared" si="4"/>
        <v/>
      </c>
      <c r="G102" s="8">
        <f t="shared" si="5"/>
        <v>0</v>
      </c>
      <c r="H102" s="8"/>
      <c r="I102" s="4" t="str">
        <f t="shared" si="6"/>
        <v/>
      </c>
    </row>
    <row r="103" spans="1:9" x14ac:dyDescent="0.2">
      <c r="A103" s="25"/>
      <c r="B103" s="25"/>
      <c r="C103" s="25"/>
      <c r="D103" s="26" t="str">
        <f>IF(NOT(ISBLANK(A103)),VLOOKUP(A103,Listados!$A$3:$D$1252,2,FALSE),"")</f>
        <v/>
      </c>
      <c r="E103" s="26" t="str">
        <f>IF(NOT(ISBLANK(A103)),VLOOKUP(A103,Listados!$A$3:$D$1252,4,FALSE),"")</f>
        <v/>
      </c>
      <c r="F103" s="5" t="str">
        <f t="shared" si="4"/>
        <v/>
      </c>
      <c r="G103" s="8">
        <f t="shared" si="5"/>
        <v>0</v>
      </c>
      <c r="H103" s="8"/>
      <c r="I103" s="4" t="str">
        <f t="shared" si="6"/>
        <v/>
      </c>
    </row>
    <row r="104" spans="1:9" x14ac:dyDescent="0.2">
      <c r="A104" s="25"/>
      <c r="B104" s="25"/>
      <c r="C104" s="25"/>
      <c r="D104" s="26" t="str">
        <f>IF(NOT(ISBLANK(A104)),VLOOKUP(A104,Listados!$A$3:$D$1252,2,FALSE),"")</f>
        <v/>
      </c>
      <c r="E104" s="26" t="str">
        <f>IF(NOT(ISBLANK(A104)),VLOOKUP(A104,Listados!$A$3:$D$1252,4,FALSE),"")</f>
        <v/>
      </c>
      <c r="F104" s="5" t="str">
        <f t="shared" si="4"/>
        <v/>
      </c>
      <c r="G104" s="8">
        <f t="shared" si="5"/>
        <v>0</v>
      </c>
      <c r="H104" s="8"/>
      <c r="I104" s="4" t="str">
        <f t="shared" si="6"/>
        <v/>
      </c>
    </row>
    <row r="105" spans="1:9" x14ac:dyDescent="0.2">
      <c r="A105" s="25"/>
      <c r="B105" s="25"/>
      <c r="C105" s="25"/>
      <c r="D105" s="26" t="str">
        <f>IF(NOT(ISBLANK(A105)),VLOOKUP(A105,Listados!$A$3:$D$1252,2,FALSE),"")</f>
        <v/>
      </c>
      <c r="E105" s="26" t="str">
        <f>IF(NOT(ISBLANK(A105)),VLOOKUP(A105,Listados!$A$3:$D$1252,4,FALSE),"")</f>
        <v/>
      </c>
      <c r="F105" s="5" t="str">
        <f t="shared" si="4"/>
        <v/>
      </c>
      <c r="G105" s="8">
        <f t="shared" si="5"/>
        <v>0</v>
      </c>
      <c r="H105" s="8"/>
      <c r="I105" s="4" t="str">
        <f t="shared" si="6"/>
        <v/>
      </c>
    </row>
    <row r="106" spans="1:9" x14ac:dyDescent="0.2">
      <c r="A106" s="25"/>
      <c r="B106" s="25"/>
      <c r="C106" s="25"/>
      <c r="D106" s="26" t="str">
        <f>IF(NOT(ISBLANK(A106)),VLOOKUP(A106,Listados!$A$3:$D$1252,2,FALSE),"")</f>
        <v/>
      </c>
      <c r="E106" s="26" t="str">
        <f>IF(NOT(ISBLANK(A106)),VLOOKUP(A106,Listados!$A$3:$D$1252,4,FALSE),"")</f>
        <v/>
      </c>
      <c r="F106" s="5" t="str">
        <f t="shared" si="4"/>
        <v/>
      </c>
      <c r="G106" s="8">
        <f t="shared" si="5"/>
        <v>0</v>
      </c>
      <c r="H106" s="8"/>
      <c r="I106" s="4" t="str">
        <f t="shared" si="6"/>
        <v/>
      </c>
    </row>
    <row r="107" spans="1:9" x14ac:dyDescent="0.2">
      <c r="A107" s="25"/>
      <c r="B107" s="25"/>
      <c r="C107" s="25"/>
      <c r="D107" s="26" t="str">
        <f>IF(NOT(ISBLANK(A107)),VLOOKUP(A107,Listados!$A$3:$D$1252,2,FALSE),"")</f>
        <v/>
      </c>
      <c r="E107" s="26" t="str">
        <f>IF(NOT(ISBLANK(A107)),VLOOKUP(A107,Listados!$A$3:$D$1252,4,FALSE),"")</f>
        <v/>
      </c>
      <c r="F107" s="5" t="str">
        <f t="shared" si="4"/>
        <v/>
      </c>
      <c r="G107" s="8">
        <f t="shared" si="5"/>
        <v>0</v>
      </c>
      <c r="H107" s="8"/>
      <c r="I107" s="4" t="str">
        <f t="shared" si="6"/>
        <v/>
      </c>
    </row>
    <row r="108" spans="1:9" x14ac:dyDescent="0.2">
      <c r="A108" s="25"/>
      <c r="B108" s="25"/>
      <c r="C108" s="25"/>
      <c r="D108" s="26" t="str">
        <f>IF(NOT(ISBLANK(A108)),VLOOKUP(A108,Listados!$A$3:$D$1252,2,FALSE),"")</f>
        <v/>
      </c>
      <c r="E108" s="26" t="str">
        <f>IF(NOT(ISBLANK(A108)),VLOOKUP(A108,Listados!$A$3:$D$1252,4,FALSE),"")</f>
        <v/>
      </c>
      <c r="F108" s="5" t="str">
        <f t="shared" si="4"/>
        <v/>
      </c>
      <c r="G108" s="8">
        <f t="shared" si="5"/>
        <v>0</v>
      </c>
      <c r="H108" s="8"/>
      <c r="I108" s="4" t="str">
        <f t="shared" si="6"/>
        <v/>
      </c>
    </row>
    <row r="109" spans="1:9" x14ac:dyDescent="0.2">
      <c r="A109" s="25"/>
      <c r="B109" s="25"/>
      <c r="C109" s="25"/>
      <c r="D109" s="26" t="str">
        <f>IF(NOT(ISBLANK(A109)),VLOOKUP(A109,Listados!$A$3:$D$1252,2,FALSE),"")</f>
        <v/>
      </c>
      <c r="E109" s="26" t="str">
        <f>IF(NOT(ISBLANK(A109)),VLOOKUP(A109,Listados!$A$3:$D$1252,4,FALSE),"")</f>
        <v/>
      </c>
      <c r="F109" s="5" t="str">
        <f t="shared" si="4"/>
        <v/>
      </c>
      <c r="G109" s="8">
        <f t="shared" si="5"/>
        <v>0</v>
      </c>
      <c r="H109" s="8"/>
      <c r="I109" s="4" t="str">
        <f t="shared" si="6"/>
        <v/>
      </c>
    </row>
    <row r="110" spans="1:9" x14ac:dyDescent="0.2">
      <c r="A110" s="25"/>
      <c r="B110" s="25"/>
      <c r="C110" s="25"/>
      <c r="D110" s="26" t="str">
        <f>IF(NOT(ISBLANK(A110)),VLOOKUP(A110,Listados!$A$3:$D$1252,2,FALSE),"")</f>
        <v/>
      </c>
      <c r="E110" s="26" t="str">
        <f>IF(NOT(ISBLANK(A110)),VLOOKUP(A110,Listados!$A$3:$D$1252,4,FALSE),"")</f>
        <v/>
      </c>
      <c r="F110" s="5" t="str">
        <f t="shared" si="4"/>
        <v/>
      </c>
      <c r="G110" s="8">
        <f t="shared" si="5"/>
        <v>0</v>
      </c>
      <c r="H110" s="8"/>
      <c r="I110" s="4" t="str">
        <f t="shared" si="6"/>
        <v/>
      </c>
    </row>
    <row r="111" spans="1:9" x14ac:dyDescent="0.2">
      <c r="A111" s="25"/>
      <c r="B111" s="25"/>
      <c r="C111" s="25"/>
      <c r="D111" s="26" t="str">
        <f>IF(NOT(ISBLANK(A111)),VLOOKUP(A111,Listados!$A$3:$D$1252,2,FALSE),"")</f>
        <v/>
      </c>
      <c r="E111" s="26" t="str">
        <f>IF(NOT(ISBLANK(A111)),VLOOKUP(A111,Listados!$A$3:$D$1252,4,FALSE),"")</f>
        <v/>
      </c>
      <c r="F111" s="5" t="str">
        <f t="shared" si="4"/>
        <v/>
      </c>
      <c r="G111" s="8">
        <f t="shared" si="5"/>
        <v>0</v>
      </c>
      <c r="H111" s="8"/>
      <c r="I111" s="4" t="str">
        <f t="shared" si="6"/>
        <v/>
      </c>
    </row>
    <row r="112" spans="1:9" x14ac:dyDescent="0.2">
      <c r="A112" s="25"/>
      <c r="B112" s="25"/>
      <c r="C112" s="25"/>
      <c r="D112" s="26" t="str">
        <f>IF(NOT(ISBLANK(A112)),VLOOKUP(A112,Listados!$A$3:$D$1252,2,FALSE),"")</f>
        <v/>
      </c>
      <c r="E112" s="26" t="str">
        <f>IF(NOT(ISBLANK(A112)),VLOOKUP(A112,Listados!$A$3:$D$1252,4,FALSE),"")</f>
        <v/>
      </c>
      <c r="F112" s="5" t="str">
        <f t="shared" si="4"/>
        <v/>
      </c>
      <c r="G112" s="8">
        <f t="shared" si="5"/>
        <v>0</v>
      </c>
      <c r="H112" s="8"/>
      <c r="I112" s="4" t="str">
        <f t="shared" si="6"/>
        <v/>
      </c>
    </row>
    <row r="113" spans="1:9" x14ac:dyDescent="0.2">
      <c r="A113" s="25"/>
      <c r="B113" s="25"/>
      <c r="C113" s="25"/>
      <c r="D113" s="26" t="str">
        <f>IF(NOT(ISBLANK(A113)),VLOOKUP(A113,Listados!$A$3:$D$1252,2,FALSE),"")</f>
        <v/>
      </c>
      <c r="E113" s="26" t="str">
        <f>IF(NOT(ISBLANK(A113)),VLOOKUP(A113,Listados!$A$3:$D$1252,4,FALSE),"")</f>
        <v/>
      </c>
      <c r="F113" s="5" t="str">
        <f t="shared" si="4"/>
        <v/>
      </c>
      <c r="G113" s="8">
        <f t="shared" si="5"/>
        <v>0</v>
      </c>
      <c r="H113" s="8"/>
      <c r="I113" s="4" t="str">
        <f t="shared" si="6"/>
        <v/>
      </c>
    </row>
    <row r="114" spans="1:9" x14ac:dyDescent="0.2">
      <c r="A114" s="25"/>
      <c r="B114" s="25"/>
      <c r="C114" s="25"/>
      <c r="D114" s="26" t="str">
        <f>IF(NOT(ISBLANK(A114)),VLOOKUP(A114,Listados!$A$3:$D$1252,2,FALSE),"")</f>
        <v/>
      </c>
      <c r="E114" s="26" t="str">
        <f>IF(NOT(ISBLANK(A114)),VLOOKUP(A114,Listados!$A$3:$D$1252,4,FALSE),"")</f>
        <v/>
      </c>
      <c r="F114" s="5" t="str">
        <f t="shared" si="4"/>
        <v/>
      </c>
      <c r="G114" s="8">
        <f t="shared" si="5"/>
        <v>0</v>
      </c>
      <c r="H114" s="8"/>
      <c r="I114" s="4" t="str">
        <f t="shared" si="6"/>
        <v/>
      </c>
    </row>
    <row r="115" spans="1:9" x14ac:dyDescent="0.2">
      <c r="A115" s="25"/>
      <c r="B115" s="25"/>
      <c r="C115" s="25"/>
      <c r="D115" s="26" t="str">
        <f>IF(NOT(ISBLANK(A115)),VLOOKUP(A115,Listados!$A$3:$D$1252,2,FALSE),"")</f>
        <v/>
      </c>
      <c r="E115" s="26" t="str">
        <f>IF(NOT(ISBLANK(A115)),VLOOKUP(A115,Listados!$A$3:$D$1252,4,FALSE),"")</f>
        <v/>
      </c>
      <c r="F115" s="5" t="str">
        <f t="shared" si="4"/>
        <v/>
      </c>
      <c r="G115" s="8">
        <f t="shared" si="5"/>
        <v>0</v>
      </c>
      <c r="H115" s="8"/>
      <c r="I115" s="4" t="str">
        <f t="shared" si="6"/>
        <v/>
      </c>
    </row>
    <row r="116" spans="1:9" x14ac:dyDescent="0.2">
      <c r="A116" s="25"/>
      <c r="B116" s="25"/>
      <c r="C116" s="25"/>
      <c r="D116" s="26" t="str">
        <f>IF(NOT(ISBLANK(A116)),VLOOKUP(A116,Listados!$A$3:$D$1252,2,FALSE),"")</f>
        <v/>
      </c>
      <c r="E116" s="26" t="str">
        <f>IF(NOT(ISBLANK(A116)),VLOOKUP(A116,Listados!$A$3:$D$1252,4,FALSE),"")</f>
        <v/>
      </c>
      <c r="F116" s="5" t="str">
        <f t="shared" si="4"/>
        <v/>
      </c>
      <c r="G116" s="8">
        <f t="shared" si="5"/>
        <v>0</v>
      </c>
      <c r="H116" s="8"/>
      <c r="I116" s="4" t="str">
        <f t="shared" si="6"/>
        <v/>
      </c>
    </row>
    <row r="117" spans="1:9" x14ac:dyDescent="0.2">
      <c r="A117" s="25"/>
      <c r="B117" s="25"/>
      <c r="C117" s="25"/>
      <c r="D117" s="26" t="str">
        <f>IF(NOT(ISBLANK(A117)),VLOOKUP(A117,Listados!$A$3:$D$1252,2,FALSE),"")</f>
        <v/>
      </c>
      <c r="E117" s="26" t="str">
        <f>IF(NOT(ISBLANK(A117)),VLOOKUP(A117,Listados!$A$3:$D$1252,4,FALSE),"")</f>
        <v/>
      </c>
      <c r="F117" s="5" t="str">
        <f t="shared" si="4"/>
        <v/>
      </c>
      <c r="G117" s="8">
        <f t="shared" si="5"/>
        <v>0</v>
      </c>
      <c r="H117" s="8"/>
      <c r="I117" s="4" t="str">
        <f t="shared" si="6"/>
        <v/>
      </c>
    </row>
    <row r="118" spans="1:9" x14ac:dyDescent="0.2">
      <c r="A118" s="25"/>
      <c r="B118" s="25"/>
      <c r="C118" s="25"/>
      <c r="D118" s="26" t="str">
        <f>IF(NOT(ISBLANK(A118)),VLOOKUP(A118,Listados!$A$3:$D$1252,2,FALSE),"")</f>
        <v/>
      </c>
      <c r="E118" s="26" t="str">
        <f>IF(NOT(ISBLANK(A118)),VLOOKUP(A118,Listados!$A$3:$D$1252,4,FALSE),"")</f>
        <v/>
      </c>
      <c r="F118" s="5" t="str">
        <f t="shared" si="4"/>
        <v/>
      </c>
      <c r="G118" s="8">
        <f t="shared" si="5"/>
        <v>0</v>
      </c>
      <c r="H118" s="8"/>
      <c r="I118" s="4" t="str">
        <f t="shared" si="6"/>
        <v/>
      </c>
    </row>
    <row r="119" spans="1:9" x14ac:dyDescent="0.2">
      <c r="A119" s="25"/>
      <c r="B119" s="25"/>
      <c r="C119" s="25"/>
      <c r="D119" s="26" t="str">
        <f>IF(NOT(ISBLANK(A119)),VLOOKUP(A119,Listados!$A$3:$D$1252,2,FALSE),"")</f>
        <v/>
      </c>
      <c r="E119" s="26" t="str">
        <f>IF(NOT(ISBLANK(A119)),VLOOKUP(A119,Listados!$A$3:$D$1252,4,FALSE),"")</f>
        <v/>
      </c>
      <c r="F119" s="5" t="str">
        <f t="shared" si="4"/>
        <v/>
      </c>
      <c r="G119" s="8">
        <f t="shared" si="5"/>
        <v>0</v>
      </c>
      <c r="H119" s="8"/>
      <c r="I119" s="4" t="str">
        <f t="shared" si="6"/>
        <v/>
      </c>
    </row>
    <row r="120" spans="1:9" x14ac:dyDescent="0.2">
      <c r="A120" s="25"/>
      <c r="B120" s="25"/>
      <c r="C120" s="25"/>
      <c r="D120" s="26" t="str">
        <f>IF(NOT(ISBLANK(A120)),VLOOKUP(A120,Listados!$A$3:$D$1252,2,FALSE),"")</f>
        <v/>
      </c>
      <c r="E120" s="26" t="str">
        <f>IF(NOT(ISBLANK(A120)),VLOOKUP(A120,Listados!$A$3:$D$1252,4,FALSE),"")</f>
        <v/>
      </c>
      <c r="F120" s="5" t="str">
        <f t="shared" si="4"/>
        <v/>
      </c>
      <c r="G120" s="8">
        <f t="shared" si="5"/>
        <v>0</v>
      </c>
      <c r="H120" s="8"/>
      <c r="I120" s="4" t="str">
        <f t="shared" si="6"/>
        <v/>
      </c>
    </row>
    <row r="121" spans="1:9" x14ac:dyDescent="0.2">
      <c r="A121" s="25"/>
      <c r="B121" s="25"/>
      <c r="C121" s="25"/>
      <c r="D121" s="26" t="str">
        <f>IF(NOT(ISBLANK(A121)),VLOOKUP(A121,Listados!$A$3:$D$1252,2,FALSE),"")</f>
        <v/>
      </c>
      <c r="E121" s="26" t="str">
        <f>IF(NOT(ISBLANK(A121)),VLOOKUP(A121,Listados!$A$3:$D$1252,4,FALSE),"")</f>
        <v/>
      </c>
      <c r="F121" s="5" t="str">
        <f t="shared" si="4"/>
        <v/>
      </c>
      <c r="G121" s="8">
        <f t="shared" si="5"/>
        <v>0</v>
      </c>
      <c r="H121" s="8"/>
      <c r="I121" s="4" t="str">
        <f t="shared" si="6"/>
        <v/>
      </c>
    </row>
    <row r="122" spans="1:9" x14ac:dyDescent="0.2">
      <c r="A122" s="25"/>
      <c r="B122" s="25"/>
      <c r="C122" s="25"/>
      <c r="D122" s="26" t="str">
        <f>IF(NOT(ISBLANK(A122)),VLOOKUP(A122,Listados!$A$3:$D$1252,2,FALSE),"")</f>
        <v/>
      </c>
      <c r="E122" s="26" t="str">
        <f>IF(NOT(ISBLANK(A122)),VLOOKUP(A122,Listados!$A$3:$D$1252,4,FALSE),"")</f>
        <v/>
      </c>
      <c r="F122" s="5" t="str">
        <f t="shared" si="4"/>
        <v/>
      </c>
      <c r="G122" s="8">
        <f t="shared" si="5"/>
        <v>0</v>
      </c>
      <c r="H122" s="8"/>
      <c r="I122" s="4" t="str">
        <f t="shared" si="6"/>
        <v/>
      </c>
    </row>
    <row r="123" spans="1:9" x14ac:dyDescent="0.2">
      <c r="A123" s="25"/>
      <c r="B123" s="25"/>
      <c r="C123" s="25"/>
      <c r="D123" s="26" t="str">
        <f>IF(NOT(ISBLANK(A123)),VLOOKUP(A123,Listados!$A$3:$D$1252,2,FALSE),"")</f>
        <v/>
      </c>
      <c r="E123" s="26" t="str">
        <f>IF(NOT(ISBLANK(A123)),VLOOKUP(A123,Listados!$A$3:$D$1252,4,FALSE),"")</f>
        <v/>
      </c>
      <c r="F123" s="5" t="str">
        <f t="shared" si="4"/>
        <v/>
      </c>
      <c r="G123" s="8">
        <f t="shared" si="5"/>
        <v>0</v>
      </c>
      <c r="H123" s="8"/>
      <c r="I123" s="4" t="str">
        <f t="shared" si="6"/>
        <v/>
      </c>
    </row>
    <row r="124" spans="1:9" x14ac:dyDescent="0.2">
      <c r="A124" s="25"/>
      <c r="B124" s="25"/>
      <c r="C124" s="25"/>
      <c r="D124" s="26" t="str">
        <f>IF(NOT(ISBLANK(A124)),VLOOKUP(A124,Listados!$A$3:$D$1252,2,FALSE),"")</f>
        <v/>
      </c>
      <c r="E124" s="26" t="str">
        <f>IF(NOT(ISBLANK(A124)),VLOOKUP(A124,Listados!$A$3:$D$1252,4,FALSE),"")</f>
        <v/>
      </c>
      <c r="F124" s="5" t="str">
        <f t="shared" si="4"/>
        <v/>
      </c>
      <c r="G124" s="8">
        <f t="shared" si="5"/>
        <v>0</v>
      </c>
      <c r="H124" s="8"/>
      <c r="I124" s="4" t="str">
        <f t="shared" si="6"/>
        <v/>
      </c>
    </row>
    <row r="125" spans="1:9" x14ac:dyDescent="0.2">
      <c r="A125" s="25"/>
      <c r="B125" s="25"/>
      <c r="C125" s="25"/>
      <c r="D125" s="26" t="str">
        <f>IF(NOT(ISBLANK(A125)),VLOOKUP(A125,Listados!$A$3:$D$1252,2,FALSE),"")</f>
        <v/>
      </c>
      <c r="E125" s="26" t="str">
        <f>IF(NOT(ISBLANK(A125)),VLOOKUP(A125,Listados!$A$3:$D$1252,4,FALSE),"")</f>
        <v/>
      </c>
      <c r="F125" s="5" t="str">
        <f t="shared" si="4"/>
        <v/>
      </c>
      <c r="G125" s="8">
        <f t="shared" si="5"/>
        <v>0</v>
      </c>
      <c r="H125" s="8"/>
      <c r="I125" s="4" t="str">
        <f t="shared" si="6"/>
        <v/>
      </c>
    </row>
    <row r="126" spans="1:9" x14ac:dyDescent="0.2">
      <c r="A126" s="25"/>
      <c r="B126" s="25"/>
      <c r="C126" s="25"/>
      <c r="D126" s="26" t="str">
        <f>IF(NOT(ISBLANK(A126)),VLOOKUP(A126,Listados!$A$3:$D$1252,2,FALSE),"")</f>
        <v/>
      </c>
      <c r="E126" s="26" t="str">
        <f>IF(NOT(ISBLANK(A126)),VLOOKUP(A126,Listados!$A$3:$D$1252,4,FALSE),"")</f>
        <v/>
      </c>
      <c r="F126" s="5" t="str">
        <f t="shared" si="4"/>
        <v/>
      </c>
      <c r="G126" s="8">
        <f t="shared" si="5"/>
        <v>0</v>
      </c>
      <c r="H126" s="8"/>
      <c r="I126" s="4" t="str">
        <f t="shared" si="6"/>
        <v/>
      </c>
    </row>
    <row r="127" spans="1:9" x14ac:dyDescent="0.2">
      <c r="A127" s="25"/>
      <c r="B127" s="25"/>
      <c r="C127" s="25"/>
      <c r="D127" s="26" t="str">
        <f>IF(NOT(ISBLANK(A127)),VLOOKUP(A127,Listados!$A$3:$D$1252,2,FALSE),"")</f>
        <v/>
      </c>
      <c r="E127" s="26" t="str">
        <f>IF(NOT(ISBLANK(A127)),VLOOKUP(A127,Listados!$A$3:$D$1252,4,FALSE),"")</f>
        <v/>
      </c>
      <c r="F127" s="5" t="str">
        <f t="shared" si="4"/>
        <v/>
      </c>
      <c r="G127" s="8">
        <f t="shared" si="5"/>
        <v>0</v>
      </c>
      <c r="H127" s="8"/>
      <c r="I127" s="4" t="str">
        <f t="shared" si="6"/>
        <v/>
      </c>
    </row>
    <row r="128" spans="1:9" x14ac:dyDescent="0.2">
      <c r="A128" s="25"/>
      <c r="B128" s="25"/>
      <c r="C128" s="25"/>
      <c r="D128" s="26" t="str">
        <f>IF(NOT(ISBLANK(A128)),VLOOKUP(A128,Listados!$A$3:$D$1252,2,FALSE),"")</f>
        <v/>
      </c>
      <c r="E128" s="26" t="str">
        <f>IF(NOT(ISBLANK(A128)),VLOOKUP(A128,Listados!$A$3:$D$1252,4,FALSE),"")</f>
        <v/>
      </c>
      <c r="F128" s="5" t="str">
        <f t="shared" si="4"/>
        <v/>
      </c>
      <c r="G128" s="8">
        <f t="shared" si="5"/>
        <v>0</v>
      </c>
      <c r="H128" s="8"/>
      <c r="I128" s="4" t="str">
        <f t="shared" si="6"/>
        <v/>
      </c>
    </row>
    <row r="129" spans="1:9" x14ac:dyDescent="0.2">
      <c r="A129" s="25"/>
      <c r="B129" s="25"/>
      <c r="C129" s="25"/>
      <c r="D129" s="26" t="str">
        <f>IF(NOT(ISBLANK(A129)),VLOOKUP(A129,Listados!$A$3:$D$1252,2,FALSE),"")</f>
        <v/>
      </c>
      <c r="E129" s="26" t="str">
        <f>IF(NOT(ISBLANK(A129)),VLOOKUP(A129,Listados!$A$3:$D$1252,4,FALSE),"")</f>
        <v/>
      </c>
      <c r="F129" s="5" t="str">
        <f t="shared" si="4"/>
        <v/>
      </c>
      <c r="G129" s="8">
        <f t="shared" si="5"/>
        <v>0</v>
      </c>
      <c r="H129" s="8"/>
      <c r="I129" s="4" t="str">
        <f t="shared" si="6"/>
        <v/>
      </c>
    </row>
    <row r="130" spans="1:9" x14ac:dyDescent="0.2">
      <c r="A130" s="25"/>
      <c r="B130" s="25"/>
      <c r="C130" s="25"/>
      <c r="D130" s="26" t="str">
        <f>IF(NOT(ISBLANK(A130)),VLOOKUP(A130,Listados!$A$3:$D$1252,2,FALSE),"")</f>
        <v/>
      </c>
      <c r="E130" s="26" t="str">
        <f>IF(NOT(ISBLANK(A130)),VLOOKUP(A130,Listados!$A$3:$D$1252,4,FALSE),"")</f>
        <v/>
      </c>
      <c r="F130" s="5" t="str">
        <f t="shared" si="4"/>
        <v/>
      </c>
      <c r="G130" s="8">
        <f t="shared" si="5"/>
        <v>0</v>
      </c>
      <c r="H130" s="8"/>
      <c r="I130" s="4" t="str">
        <f t="shared" si="6"/>
        <v/>
      </c>
    </row>
    <row r="131" spans="1:9" x14ac:dyDescent="0.2">
      <c r="A131" s="25"/>
      <c r="B131" s="25"/>
      <c r="C131" s="25"/>
      <c r="D131" s="26" t="str">
        <f>IF(NOT(ISBLANK(A131)),VLOOKUP(A131,Listados!$A$3:$D$1252,2,FALSE),"")</f>
        <v/>
      </c>
      <c r="E131" s="26" t="str">
        <f>IF(NOT(ISBLANK(A131)),VLOOKUP(A131,Listados!$A$3:$D$1252,4,FALSE),"")</f>
        <v/>
      </c>
      <c r="F131" s="5" t="str">
        <f t="shared" si="4"/>
        <v/>
      </c>
      <c r="G131" s="8">
        <f t="shared" si="5"/>
        <v>0</v>
      </c>
      <c r="H131" s="8"/>
      <c r="I131" s="4" t="str">
        <f t="shared" si="6"/>
        <v/>
      </c>
    </row>
    <row r="132" spans="1:9" x14ac:dyDescent="0.2">
      <c r="A132" s="25"/>
      <c r="B132" s="25"/>
      <c r="C132" s="25"/>
      <c r="D132" s="26" t="str">
        <f>IF(NOT(ISBLANK(A132)),VLOOKUP(A132,Listados!$A$3:$D$1252,2,FALSE),"")</f>
        <v/>
      </c>
      <c r="E132" s="26" t="str">
        <f>IF(NOT(ISBLANK(A132)),VLOOKUP(A132,Listados!$A$3:$D$1252,4,FALSE),"")</f>
        <v/>
      </c>
      <c r="F132" s="5" t="str">
        <f t="shared" si="4"/>
        <v/>
      </c>
      <c r="G132" s="8">
        <f t="shared" si="5"/>
        <v>0</v>
      </c>
      <c r="H132" s="8"/>
      <c r="I132" s="4" t="str">
        <f t="shared" si="6"/>
        <v/>
      </c>
    </row>
    <row r="133" spans="1:9" x14ac:dyDescent="0.2">
      <c r="A133" s="25"/>
      <c r="B133" s="25"/>
      <c r="C133" s="25"/>
      <c r="D133" s="26" t="str">
        <f>IF(NOT(ISBLANK(A133)),VLOOKUP(A133,Listados!$A$3:$D$1252,2,FALSE),"")</f>
        <v/>
      </c>
      <c r="E133" s="26" t="str">
        <f>IF(NOT(ISBLANK(A133)),VLOOKUP(A133,Listados!$A$3:$D$1252,4,FALSE),"")</f>
        <v/>
      </c>
      <c r="F133" s="5" t="str">
        <f t="shared" si="4"/>
        <v/>
      </c>
      <c r="G133" s="8">
        <f t="shared" si="5"/>
        <v>0</v>
      </c>
      <c r="H133" s="8"/>
      <c r="I133" s="4" t="str">
        <f t="shared" si="6"/>
        <v/>
      </c>
    </row>
    <row r="134" spans="1:9" x14ac:dyDescent="0.2">
      <c r="A134" s="25"/>
      <c r="B134" s="25"/>
      <c r="C134" s="25"/>
      <c r="D134" s="26" t="str">
        <f>IF(NOT(ISBLANK(A134)),VLOOKUP(A134,Listados!$A$3:$D$1252,2,FALSE),"")</f>
        <v/>
      </c>
      <c r="E134" s="26" t="str">
        <f>IF(NOT(ISBLANK(A134)),VLOOKUP(A134,Listados!$A$3:$D$1252,4,FALSE),"")</f>
        <v/>
      </c>
      <c r="F134" s="5" t="str">
        <f t="shared" si="4"/>
        <v/>
      </c>
      <c r="G134" s="8">
        <f t="shared" si="5"/>
        <v>0</v>
      </c>
      <c r="H134" s="8"/>
      <c r="I134" s="4" t="str">
        <f t="shared" si="6"/>
        <v/>
      </c>
    </row>
    <row r="135" spans="1:9" x14ac:dyDescent="0.2">
      <c r="A135" s="25"/>
      <c r="B135" s="25"/>
      <c r="C135" s="25"/>
      <c r="D135" s="26" t="str">
        <f>IF(NOT(ISBLANK(A135)),VLOOKUP(A135,Listados!$A$3:$D$1252,2,FALSE),"")</f>
        <v/>
      </c>
      <c r="E135" s="26" t="str">
        <f>IF(NOT(ISBLANK(A135)),VLOOKUP(A135,Listados!$A$3:$D$1252,4,FALSE),"")</f>
        <v/>
      </c>
      <c r="F135" s="5" t="str">
        <f t="shared" si="4"/>
        <v/>
      </c>
      <c r="G135" s="8">
        <f t="shared" si="5"/>
        <v>0</v>
      </c>
      <c r="H135" s="8"/>
      <c r="I135" s="4" t="str">
        <f t="shared" si="6"/>
        <v/>
      </c>
    </row>
    <row r="136" spans="1:9" x14ac:dyDescent="0.2">
      <c r="A136" s="25"/>
      <c r="B136" s="25"/>
      <c r="C136" s="25"/>
      <c r="D136" s="26" t="str">
        <f>IF(NOT(ISBLANK(A136)),VLOOKUP(A136,Listados!$A$3:$D$1252,2,FALSE),"")</f>
        <v/>
      </c>
      <c r="E136" s="26" t="str">
        <f>IF(NOT(ISBLANK(A136)),VLOOKUP(A136,Listados!$A$3:$D$1252,4,FALSE),"")</f>
        <v/>
      </c>
      <c r="F136" s="5" t="str">
        <f t="shared" si="4"/>
        <v/>
      </c>
      <c r="G136" s="8">
        <f t="shared" si="5"/>
        <v>0</v>
      </c>
      <c r="H136" s="8"/>
      <c r="I136" s="4" t="str">
        <f t="shared" si="6"/>
        <v/>
      </c>
    </row>
    <row r="137" spans="1:9" x14ac:dyDescent="0.2">
      <c r="A137" s="25"/>
      <c r="B137" s="25"/>
      <c r="C137" s="25"/>
      <c r="D137" s="26" t="str">
        <f>IF(NOT(ISBLANK(A137)),VLOOKUP(A137,Listados!$A$3:$D$1252,2,FALSE),"")</f>
        <v/>
      </c>
      <c r="E137" s="26" t="str">
        <f>IF(NOT(ISBLANK(A137)),VLOOKUP(A137,Listados!$A$3:$D$1252,4,FALSE),"")</f>
        <v/>
      </c>
      <c r="F137" s="5" t="str">
        <f t="shared" si="4"/>
        <v/>
      </c>
      <c r="G137" s="8">
        <f t="shared" si="5"/>
        <v>0</v>
      </c>
      <c r="H137" s="8"/>
      <c r="I137" s="4" t="str">
        <f t="shared" si="6"/>
        <v/>
      </c>
    </row>
    <row r="138" spans="1:9" x14ac:dyDescent="0.2">
      <c r="A138" s="25"/>
      <c r="B138" s="25"/>
      <c r="C138" s="25"/>
      <c r="D138" s="26" t="str">
        <f>IF(NOT(ISBLANK(A138)),VLOOKUP(A138,Listados!$A$3:$D$1252,2,FALSE),"")</f>
        <v/>
      </c>
      <c r="E138" s="26" t="str">
        <f>IF(NOT(ISBLANK(A138)),VLOOKUP(A138,Listados!$A$3:$D$1252,4,FALSE),"")</f>
        <v/>
      </c>
      <c r="F138" s="5" t="str">
        <f t="shared" si="4"/>
        <v/>
      </c>
      <c r="G138" s="8">
        <f t="shared" si="5"/>
        <v>0</v>
      </c>
      <c r="H138" s="8"/>
      <c r="I138" s="4" t="str">
        <f t="shared" si="6"/>
        <v/>
      </c>
    </row>
    <row r="139" spans="1:9" x14ac:dyDescent="0.2">
      <c r="A139" s="25"/>
      <c r="B139" s="25"/>
      <c r="C139" s="25"/>
      <c r="D139" s="26" t="str">
        <f>IF(NOT(ISBLANK(A139)),VLOOKUP(A139,Listados!$A$3:$D$1252,2,FALSE),"")</f>
        <v/>
      </c>
      <c r="E139" s="26" t="str">
        <f>IF(NOT(ISBLANK(A139)),VLOOKUP(A139,Listados!$A$3:$D$1252,4,FALSE),"")</f>
        <v/>
      </c>
      <c r="F139" s="5" t="str">
        <f t="shared" si="4"/>
        <v/>
      </c>
      <c r="G139" s="8">
        <f t="shared" si="5"/>
        <v>0</v>
      </c>
      <c r="H139" s="8"/>
      <c r="I139" s="4" t="str">
        <f t="shared" si="6"/>
        <v/>
      </c>
    </row>
    <row r="140" spans="1:9" x14ac:dyDescent="0.2">
      <c r="A140" s="25"/>
      <c r="B140" s="25"/>
      <c r="C140" s="25"/>
      <c r="D140" s="26" t="str">
        <f>IF(NOT(ISBLANK(A140)),VLOOKUP(A140,Listados!$A$3:$D$1252,2,FALSE),"")</f>
        <v/>
      </c>
      <c r="E140" s="26" t="str">
        <f>IF(NOT(ISBLANK(A140)),VLOOKUP(A140,Listados!$A$3:$D$1252,4,FALSE),"")</f>
        <v/>
      </c>
      <c r="F140" s="5" t="str">
        <f t="shared" si="4"/>
        <v/>
      </c>
      <c r="G140" s="8">
        <f t="shared" si="5"/>
        <v>0</v>
      </c>
      <c r="H140" s="8"/>
      <c r="I140" s="4" t="str">
        <f t="shared" si="6"/>
        <v/>
      </c>
    </row>
    <row r="141" spans="1:9" x14ac:dyDescent="0.2">
      <c r="A141" s="25"/>
      <c r="B141" s="25"/>
      <c r="C141" s="25"/>
      <c r="D141" s="26" t="str">
        <f>IF(NOT(ISBLANK(A141)),VLOOKUP(A141,Listados!$A$3:$D$1252,2,FALSE),"")</f>
        <v/>
      </c>
      <c r="E141" s="26" t="str">
        <f>IF(NOT(ISBLANK(A141)),VLOOKUP(A141,Listados!$A$3:$D$1252,4,FALSE),"")</f>
        <v/>
      </c>
      <c r="F141" s="5" t="str">
        <f t="shared" si="4"/>
        <v/>
      </c>
      <c r="G141" s="8">
        <f t="shared" si="5"/>
        <v>0</v>
      </c>
      <c r="H141" s="8"/>
      <c r="I141" s="4" t="str">
        <f t="shared" si="6"/>
        <v/>
      </c>
    </row>
    <row r="142" spans="1:9" x14ac:dyDescent="0.2">
      <c r="A142" s="25"/>
      <c r="B142" s="25"/>
      <c r="C142" s="25"/>
      <c r="D142" s="26" t="str">
        <f>IF(NOT(ISBLANK(A142)),VLOOKUP(A142,Listados!$A$3:$D$1252,2,FALSE),"")</f>
        <v/>
      </c>
      <c r="E142" s="26" t="str">
        <f>IF(NOT(ISBLANK(A142)),VLOOKUP(A142,Listados!$A$3:$D$1252,4,FALSE),"")</f>
        <v/>
      </c>
      <c r="F142" s="5" t="str">
        <f t="shared" si="4"/>
        <v/>
      </c>
      <c r="G142" s="8">
        <f t="shared" si="5"/>
        <v>0</v>
      </c>
      <c r="H142" s="8"/>
      <c r="I142" s="4" t="str">
        <f t="shared" si="6"/>
        <v/>
      </c>
    </row>
    <row r="143" spans="1:9" x14ac:dyDescent="0.2">
      <c r="A143" s="25"/>
      <c r="B143" s="25"/>
      <c r="C143" s="25"/>
      <c r="D143" s="26" t="str">
        <f>IF(NOT(ISBLANK(A143)),VLOOKUP(A143,Listados!$A$3:$D$1252,2,FALSE),"")</f>
        <v/>
      </c>
      <c r="E143" s="26" t="str">
        <f>IF(NOT(ISBLANK(A143)),VLOOKUP(A143,Listados!$A$3:$D$1252,4,FALSE),"")</f>
        <v/>
      </c>
      <c r="F143" s="5" t="str">
        <f t="shared" si="4"/>
        <v/>
      </c>
      <c r="G143" s="8">
        <f t="shared" si="5"/>
        <v>0</v>
      </c>
      <c r="H143" s="8"/>
      <c r="I143" s="4" t="str">
        <f t="shared" si="6"/>
        <v/>
      </c>
    </row>
    <row r="144" spans="1:9" x14ac:dyDescent="0.2">
      <c r="A144" s="25"/>
      <c r="B144" s="25"/>
      <c r="C144" s="25"/>
      <c r="D144" s="26" t="str">
        <f>IF(NOT(ISBLANK(A144)),VLOOKUP(A144,Listados!$A$3:$D$1252,2,FALSE),"")</f>
        <v/>
      </c>
      <c r="E144" s="26" t="str">
        <f>IF(NOT(ISBLANK(A144)),VLOOKUP(A144,Listados!$A$3:$D$1252,4,FALSE),"")</f>
        <v/>
      </c>
      <c r="F144" s="5" t="str">
        <f t="shared" ref="F144:F207" si="7">IF(ISERROR(D144),"El código de ciudad no es válido",IF(AND(NOT(ISNUMBER(SUM(B144:C144))),NOT(A144="")),"Escriba la muestra para esta ciudad",""))</f>
        <v/>
      </c>
      <c r="G144" s="8">
        <f t="shared" ref="G144:G207" si="8">IF(NOT(F144=""),1,0)</f>
        <v>0</v>
      </c>
      <c r="H144" s="8"/>
      <c r="I144" s="4" t="str">
        <f t="shared" si="6"/>
        <v/>
      </c>
    </row>
    <row r="145" spans="1:9" x14ac:dyDescent="0.2">
      <c r="A145" s="25"/>
      <c r="B145" s="25"/>
      <c r="C145" s="25"/>
      <c r="D145" s="26" t="str">
        <f>IF(NOT(ISBLANK(A145)),VLOOKUP(A145,Listados!$A$3:$D$1252,2,FALSE),"")</f>
        <v/>
      </c>
      <c r="E145" s="26" t="str">
        <f>IF(NOT(ISBLANK(A145)),VLOOKUP(A145,Listados!$A$3:$D$1252,4,FALSE),"")</f>
        <v/>
      </c>
      <c r="F145" s="5" t="str">
        <f t="shared" si="7"/>
        <v/>
      </c>
      <c r="G145" s="8">
        <f t="shared" si="8"/>
        <v>0</v>
      </c>
      <c r="H145" s="8"/>
      <c r="I145" s="4" t="str">
        <f t="shared" ref="I145:I208" si="9">_xlfn.CONCAT(IF(AND(NOT(A145=""),ISNUMBER(B145)),"EXEC [dbo].[IQ_InsertarMuestra_WORK] "&amp;A145&amp;", "&amp;B145&amp;", 40, "&amp;$I$8&amp;", "&amp;$I$11&amp;", "&amp;$I$10&amp;", "&amp;$I$9&amp;";",""),IF(AND(NOT(A145=""),ISNUMBER(C145)),"EXEC [dbo].[IQ_InsertarMuestra_WORK] "&amp;A145&amp;", "&amp;C145&amp;", 50, "&amp;$I$8&amp;", "&amp;$I$11&amp;", "&amp;$I$10&amp;", "&amp;$I$9&amp;";",""))</f>
        <v/>
      </c>
    </row>
    <row r="146" spans="1:9" x14ac:dyDescent="0.2">
      <c r="A146" s="25"/>
      <c r="B146" s="25"/>
      <c r="C146" s="25"/>
      <c r="D146" s="26" t="str">
        <f>IF(NOT(ISBLANK(A146)),VLOOKUP(A146,Listados!$A$3:$D$1252,2,FALSE),"")</f>
        <v/>
      </c>
      <c r="E146" s="26" t="str">
        <f>IF(NOT(ISBLANK(A146)),VLOOKUP(A146,Listados!$A$3:$D$1252,4,FALSE),"")</f>
        <v/>
      </c>
      <c r="F146" s="5" t="str">
        <f t="shared" si="7"/>
        <v/>
      </c>
      <c r="G146" s="8">
        <f t="shared" si="8"/>
        <v>0</v>
      </c>
      <c r="H146" s="8"/>
      <c r="I146" s="4" t="str">
        <f t="shared" si="9"/>
        <v/>
      </c>
    </row>
    <row r="147" spans="1:9" x14ac:dyDescent="0.2">
      <c r="A147" s="25"/>
      <c r="B147" s="25"/>
      <c r="C147" s="25"/>
      <c r="D147" s="26" t="str">
        <f>IF(NOT(ISBLANK(A147)),VLOOKUP(A147,Listados!$A$3:$D$1252,2,FALSE),"")</f>
        <v/>
      </c>
      <c r="E147" s="26" t="str">
        <f>IF(NOT(ISBLANK(A147)),VLOOKUP(A147,Listados!$A$3:$D$1252,4,FALSE),"")</f>
        <v/>
      </c>
      <c r="F147" s="5" t="str">
        <f t="shared" si="7"/>
        <v/>
      </c>
      <c r="G147" s="8">
        <f t="shared" si="8"/>
        <v>0</v>
      </c>
      <c r="H147" s="8"/>
      <c r="I147" s="4" t="str">
        <f t="shared" si="9"/>
        <v/>
      </c>
    </row>
    <row r="148" spans="1:9" x14ac:dyDescent="0.2">
      <c r="A148" s="25"/>
      <c r="B148" s="25"/>
      <c r="C148" s="25"/>
      <c r="D148" s="26" t="str">
        <f>IF(NOT(ISBLANK(A148)),VLOOKUP(A148,Listados!$A$3:$D$1252,2,FALSE),"")</f>
        <v/>
      </c>
      <c r="E148" s="26" t="str">
        <f>IF(NOT(ISBLANK(A148)),VLOOKUP(A148,Listados!$A$3:$D$1252,4,FALSE),"")</f>
        <v/>
      </c>
      <c r="F148" s="5" t="str">
        <f t="shared" si="7"/>
        <v/>
      </c>
      <c r="G148" s="8">
        <f t="shared" si="8"/>
        <v>0</v>
      </c>
      <c r="H148" s="8"/>
      <c r="I148" s="4" t="str">
        <f t="shared" si="9"/>
        <v/>
      </c>
    </row>
    <row r="149" spans="1:9" x14ac:dyDescent="0.2">
      <c r="A149" s="25"/>
      <c r="B149" s="25"/>
      <c r="C149" s="25"/>
      <c r="D149" s="26" t="str">
        <f>IF(NOT(ISBLANK(A149)),VLOOKUP(A149,Listados!$A$3:$D$1252,2,FALSE),"")</f>
        <v/>
      </c>
      <c r="E149" s="26" t="str">
        <f>IF(NOT(ISBLANK(A149)),VLOOKUP(A149,Listados!$A$3:$D$1252,4,FALSE),"")</f>
        <v/>
      </c>
      <c r="F149" s="5" t="str">
        <f t="shared" si="7"/>
        <v/>
      </c>
      <c r="G149" s="8">
        <f t="shared" si="8"/>
        <v>0</v>
      </c>
      <c r="H149" s="8"/>
      <c r="I149" s="4" t="str">
        <f t="shared" si="9"/>
        <v/>
      </c>
    </row>
    <row r="150" spans="1:9" x14ac:dyDescent="0.2">
      <c r="A150" s="25"/>
      <c r="B150" s="25"/>
      <c r="C150" s="25"/>
      <c r="D150" s="26" t="str">
        <f>IF(NOT(ISBLANK(A150)),VLOOKUP(A150,Listados!$A$3:$D$1252,2,FALSE),"")</f>
        <v/>
      </c>
      <c r="E150" s="26" t="str">
        <f>IF(NOT(ISBLANK(A150)),VLOOKUP(A150,Listados!$A$3:$D$1252,4,FALSE),"")</f>
        <v/>
      </c>
      <c r="F150" s="5" t="str">
        <f t="shared" si="7"/>
        <v/>
      </c>
      <c r="G150" s="8">
        <f t="shared" si="8"/>
        <v>0</v>
      </c>
      <c r="H150" s="8"/>
      <c r="I150" s="4" t="str">
        <f t="shared" si="9"/>
        <v/>
      </c>
    </row>
    <row r="151" spans="1:9" x14ac:dyDescent="0.2">
      <c r="A151" s="25"/>
      <c r="B151" s="25"/>
      <c r="C151" s="25"/>
      <c r="D151" s="26" t="str">
        <f>IF(NOT(ISBLANK(A151)),VLOOKUP(A151,Listados!$A$3:$D$1252,2,FALSE),"")</f>
        <v/>
      </c>
      <c r="E151" s="26" t="str">
        <f>IF(NOT(ISBLANK(A151)),VLOOKUP(A151,Listados!$A$3:$D$1252,4,FALSE),"")</f>
        <v/>
      </c>
      <c r="F151" s="5" t="str">
        <f t="shared" si="7"/>
        <v/>
      </c>
      <c r="G151" s="8">
        <f t="shared" si="8"/>
        <v>0</v>
      </c>
      <c r="H151" s="8"/>
      <c r="I151" s="4" t="str">
        <f t="shared" si="9"/>
        <v/>
      </c>
    </row>
    <row r="152" spans="1:9" x14ac:dyDescent="0.2">
      <c r="A152" s="25"/>
      <c r="B152" s="25"/>
      <c r="C152" s="25"/>
      <c r="D152" s="26" t="str">
        <f>IF(NOT(ISBLANK(A152)),VLOOKUP(A152,Listados!$A$3:$D$1252,2,FALSE),"")</f>
        <v/>
      </c>
      <c r="E152" s="26" t="str">
        <f>IF(NOT(ISBLANK(A152)),VLOOKUP(A152,Listados!$A$3:$D$1252,4,FALSE),"")</f>
        <v/>
      </c>
      <c r="F152" s="5" t="str">
        <f t="shared" si="7"/>
        <v/>
      </c>
      <c r="G152" s="8">
        <f t="shared" si="8"/>
        <v>0</v>
      </c>
      <c r="H152" s="8"/>
      <c r="I152" s="4" t="str">
        <f t="shared" si="9"/>
        <v/>
      </c>
    </row>
    <row r="153" spans="1:9" x14ac:dyDescent="0.2">
      <c r="A153" s="25"/>
      <c r="B153" s="25"/>
      <c r="C153" s="25"/>
      <c r="D153" s="26" t="str">
        <f>IF(NOT(ISBLANK(A153)),VLOOKUP(A153,Listados!$A$3:$D$1252,2,FALSE),"")</f>
        <v/>
      </c>
      <c r="E153" s="26" t="str">
        <f>IF(NOT(ISBLANK(A153)),VLOOKUP(A153,Listados!$A$3:$D$1252,4,FALSE),"")</f>
        <v/>
      </c>
      <c r="F153" s="5" t="str">
        <f t="shared" si="7"/>
        <v/>
      </c>
      <c r="G153" s="8">
        <f t="shared" si="8"/>
        <v>0</v>
      </c>
      <c r="H153" s="8"/>
      <c r="I153" s="4" t="str">
        <f t="shared" si="9"/>
        <v/>
      </c>
    </row>
    <row r="154" spans="1:9" x14ac:dyDescent="0.2">
      <c r="A154" s="25"/>
      <c r="B154" s="25"/>
      <c r="C154" s="25"/>
      <c r="D154" s="26" t="str">
        <f>IF(NOT(ISBLANK(A154)),VLOOKUP(A154,Listados!$A$3:$D$1252,2,FALSE),"")</f>
        <v/>
      </c>
      <c r="E154" s="26" t="str">
        <f>IF(NOT(ISBLANK(A154)),VLOOKUP(A154,Listados!$A$3:$D$1252,4,FALSE),"")</f>
        <v/>
      </c>
      <c r="F154" s="5" t="str">
        <f t="shared" si="7"/>
        <v/>
      </c>
      <c r="G154" s="8">
        <f t="shared" si="8"/>
        <v>0</v>
      </c>
      <c r="H154" s="8"/>
      <c r="I154" s="4" t="str">
        <f t="shared" si="9"/>
        <v/>
      </c>
    </row>
    <row r="155" spans="1:9" x14ac:dyDescent="0.2">
      <c r="A155" s="25"/>
      <c r="B155" s="25"/>
      <c r="C155" s="25"/>
      <c r="D155" s="26" t="str">
        <f>IF(NOT(ISBLANK(A155)),VLOOKUP(A155,Listados!$A$3:$D$1252,2,FALSE),"")</f>
        <v/>
      </c>
      <c r="E155" s="26" t="str">
        <f>IF(NOT(ISBLANK(A155)),VLOOKUP(A155,Listados!$A$3:$D$1252,4,FALSE),"")</f>
        <v/>
      </c>
      <c r="F155" s="5" t="str">
        <f t="shared" si="7"/>
        <v/>
      </c>
      <c r="G155" s="8">
        <f t="shared" si="8"/>
        <v>0</v>
      </c>
      <c r="H155" s="8"/>
      <c r="I155" s="4" t="str">
        <f t="shared" si="9"/>
        <v/>
      </c>
    </row>
    <row r="156" spans="1:9" x14ac:dyDescent="0.2">
      <c r="A156" s="25"/>
      <c r="B156" s="25"/>
      <c r="C156" s="25"/>
      <c r="D156" s="26" t="str">
        <f>IF(NOT(ISBLANK(A156)),VLOOKUP(A156,Listados!$A$3:$D$1252,2,FALSE),"")</f>
        <v/>
      </c>
      <c r="E156" s="26" t="str">
        <f>IF(NOT(ISBLANK(A156)),VLOOKUP(A156,Listados!$A$3:$D$1252,4,FALSE),"")</f>
        <v/>
      </c>
      <c r="F156" s="5" t="str">
        <f t="shared" si="7"/>
        <v/>
      </c>
      <c r="G156" s="8">
        <f t="shared" si="8"/>
        <v>0</v>
      </c>
      <c r="H156" s="8"/>
      <c r="I156" s="4" t="str">
        <f t="shared" si="9"/>
        <v/>
      </c>
    </row>
    <row r="157" spans="1:9" x14ac:dyDescent="0.2">
      <c r="A157" s="25"/>
      <c r="B157" s="25"/>
      <c r="C157" s="25"/>
      <c r="D157" s="26" t="str">
        <f>IF(NOT(ISBLANK(A157)),VLOOKUP(A157,Listados!$A$3:$D$1252,2,FALSE),"")</f>
        <v/>
      </c>
      <c r="E157" s="26" t="str">
        <f>IF(NOT(ISBLANK(A157)),VLOOKUP(A157,Listados!$A$3:$D$1252,4,FALSE),"")</f>
        <v/>
      </c>
      <c r="F157" s="5" t="str">
        <f t="shared" si="7"/>
        <v/>
      </c>
      <c r="G157" s="8">
        <f t="shared" si="8"/>
        <v>0</v>
      </c>
      <c r="H157" s="8"/>
      <c r="I157" s="4" t="str">
        <f t="shared" si="9"/>
        <v/>
      </c>
    </row>
    <row r="158" spans="1:9" x14ac:dyDescent="0.2">
      <c r="A158" s="25"/>
      <c r="B158" s="25"/>
      <c r="C158" s="25"/>
      <c r="D158" s="26" t="str">
        <f>IF(NOT(ISBLANK(A158)),VLOOKUP(A158,Listados!$A$3:$D$1252,2,FALSE),"")</f>
        <v/>
      </c>
      <c r="E158" s="26" t="str">
        <f>IF(NOT(ISBLANK(A158)),VLOOKUP(A158,Listados!$A$3:$D$1252,4,FALSE),"")</f>
        <v/>
      </c>
      <c r="F158" s="5" t="str">
        <f t="shared" si="7"/>
        <v/>
      </c>
      <c r="G158" s="8">
        <f t="shared" si="8"/>
        <v>0</v>
      </c>
      <c r="H158" s="8"/>
      <c r="I158" s="4" t="str">
        <f t="shared" si="9"/>
        <v/>
      </c>
    </row>
    <row r="159" spans="1:9" x14ac:dyDescent="0.2">
      <c r="A159" s="25"/>
      <c r="B159" s="25"/>
      <c r="C159" s="25"/>
      <c r="D159" s="26" t="str">
        <f>IF(NOT(ISBLANK(A159)),VLOOKUP(A159,Listados!$A$3:$D$1252,2,FALSE),"")</f>
        <v/>
      </c>
      <c r="E159" s="26" t="str">
        <f>IF(NOT(ISBLANK(A159)),VLOOKUP(A159,Listados!$A$3:$D$1252,4,FALSE),"")</f>
        <v/>
      </c>
      <c r="F159" s="5" t="str">
        <f t="shared" si="7"/>
        <v/>
      </c>
      <c r="G159" s="8">
        <f t="shared" si="8"/>
        <v>0</v>
      </c>
      <c r="H159" s="8"/>
      <c r="I159" s="4" t="str">
        <f t="shared" si="9"/>
        <v/>
      </c>
    </row>
    <row r="160" spans="1:9" x14ac:dyDescent="0.2">
      <c r="A160" s="25"/>
      <c r="B160" s="25"/>
      <c r="C160" s="25"/>
      <c r="D160" s="26" t="str">
        <f>IF(NOT(ISBLANK(A160)),VLOOKUP(A160,Listados!$A$3:$D$1252,2,FALSE),"")</f>
        <v/>
      </c>
      <c r="E160" s="26" t="str">
        <f>IF(NOT(ISBLANK(A160)),VLOOKUP(A160,Listados!$A$3:$D$1252,4,FALSE),"")</f>
        <v/>
      </c>
      <c r="F160" s="5" t="str">
        <f t="shared" si="7"/>
        <v/>
      </c>
      <c r="G160" s="8">
        <f t="shared" si="8"/>
        <v>0</v>
      </c>
      <c r="H160" s="8"/>
      <c r="I160" s="4" t="str">
        <f t="shared" si="9"/>
        <v/>
      </c>
    </row>
    <row r="161" spans="1:9" x14ac:dyDescent="0.2">
      <c r="A161" s="25"/>
      <c r="B161" s="25"/>
      <c r="C161" s="25"/>
      <c r="D161" s="26" t="str">
        <f>IF(NOT(ISBLANK(A161)),VLOOKUP(A161,Listados!$A$3:$D$1252,2,FALSE),"")</f>
        <v/>
      </c>
      <c r="E161" s="26" t="str">
        <f>IF(NOT(ISBLANK(A161)),VLOOKUP(A161,Listados!$A$3:$D$1252,4,FALSE),"")</f>
        <v/>
      </c>
      <c r="F161" s="5" t="str">
        <f t="shared" si="7"/>
        <v/>
      </c>
      <c r="G161" s="8">
        <f t="shared" si="8"/>
        <v>0</v>
      </c>
      <c r="H161" s="8"/>
      <c r="I161" s="4" t="str">
        <f t="shared" si="9"/>
        <v/>
      </c>
    </row>
    <row r="162" spans="1:9" x14ac:dyDescent="0.2">
      <c r="A162" s="25"/>
      <c r="B162" s="25"/>
      <c r="C162" s="25"/>
      <c r="D162" s="26" t="str">
        <f>IF(NOT(ISBLANK(A162)),VLOOKUP(A162,Listados!$A$3:$D$1252,2,FALSE),"")</f>
        <v/>
      </c>
      <c r="E162" s="26" t="str">
        <f>IF(NOT(ISBLANK(A162)),VLOOKUP(A162,Listados!$A$3:$D$1252,4,FALSE),"")</f>
        <v/>
      </c>
      <c r="F162" s="5" t="str">
        <f t="shared" si="7"/>
        <v/>
      </c>
      <c r="G162" s="8">
        <f t="shared" si="8"/>
        <v>0</v>
      </c>
      <c r="H162" s="8"/>
      <c r="I162" s="4" t="str">
        <f t="shared" si="9"/>
        <v/>
      </c>
    </row>
    <row r="163" spans="1:9" x14ac:dyDescent="0.2">
      <c r="A163" s="25"/>
      <c r="B163" s="25"/>
      <c r="C163" s="25"/>
      <c r="D163" s="26" t="str">
        <f>IF(NOT(ISBLANK(A163)),VLOOKUP(A163,Listados!$A$3:$D$1252,2,FALSE),"")</f>
        <v/>
      </c>
      <c r="E163" s="26" t="str">
        <f>IF(NOT(ISBLANK(A163)),VLOOKUP(A163,Listados!$A$3:$D$1252,4,FALSE),"")</f>
        <v/>
      </c>
      <c r="F163" s="5" t="str">
        <f t="shared" si="7"/>
        <v/>
      </c>
      <c r="G163" s="8">
        <f t="shared" si="8"/>
        <v>0</v>
      </c>
      <c r="H163" s="8"/>
      <c r="I163" s="4" t="str">
        <f t="shared" si="9"/>
        <v/>
      </c>
    </row>
    <row r="164" spans="1:9" x14ac:dyDescent="0.2">
      <c r="A164" s="25"/>
      <c r="B164" s="25"/>
      <c r="C164" s="25"/>
      <c r="D164" s="26" t="str">
        <f>IF(NOT(ISBLANK(A164)),VLOOKUP(A164,Listados!$A$3:$D$1252,2,FALSE),"")</f>
        <v/>
      </c>
      <c r="E164" s="26" t="str">
        <f>IF(NOT(ISBLANK(A164)),VLOOKUP(A164,Listados!$A$3:$D$1252,4,FALSE),"")</f>
        <v/>
      </c>
      <c r="F164" s="5" t="str">
        <f t="shared" si="7"/>
        <v/>
      </c>
      <c r="G164" s="8">
        <f t="shared" si="8"/>
        <v>0</v>
      </c>
      <c r="H164" s="8"/>
      <c r="I164" s="4" t="str">
        <f t="shared" si="9"/>
        <v/>
      </c>
    </row>
    <row r="165" spans="1:9" x14ac:dyDescent="0.2">
      <c r="A165" s="25"/>
      <c r="B165" s="25"/>
      <c r="C165" s="25"/>
      <c r="D165" s="26" t="str">
        <f>IF(NOT(ISBLANK(A165)),VLOOKUP(A165,Listados!$A$3:$D$1252,2,FALSE),"")</f>
        <v/>
      </c>
      <c r="E165" s="26" t="str">
        <f>IF(NOT(ISBLANK(A165)),VLOOKUP(A165,Listados!$A$3:$D$1252,4,FALSE),"")</f>
        <v/>
      </c>
      <c r="F165" s="5" t="str">
        <f t="shared" si="7"/>
        <v/>
      </c>
      <c r="G165" s="8">
        <f t="shared" si="8"/>
        <v>0</v>
      </c>
      <c r="H165" s="8"/>
      <c r="I165" s="4" t="str">
        <f t="shared" si="9"/>
        <v/>
      </c>
    </row>
    <row r="166" spans="1:9" x14ac:dyDescent="0.2">
      <c r="A166" s="25"/>
      <c r="B166" s="25"/>
      <c r="C166" s="25"/>
      <c r="D166" s="26" t="str">
        <f>IF(NOT(ISBLANK(A166)),VLOOKUP(A166,Listados!$A$3:$D$1252,2,FALSE),"")</f>
        <v/>
      </c>
      <c r="E166" s="26" t="str">
        <f>IF(NOT(ISBLANK(A166)),VLOOKUP(A166,Listados!$A$3:$D$1252,4,FALSE),"")</f>
        <v/>
      </c>
      <c r="F166" s="5" t="str">
        <f t="shared" si="7"/>
        <v/>
      </c>
      <c r="G166" s="8">
        <f t="shared" si="8"/>
        <v>0</v>
      </c>
      <c r="H166" s="8"/>
      <c r="I166" s="4" t="str">
        <f t="shared" si="9"/>
        <v/>
      </c>
    </row>
    <row r="167" spans="1:9" x14ac:dyDescent="0.2">
      <c r="A167" s="25"/>
      <c r="B167" s="25"/>
      <c r="C167" s="25"/>
      <c r="D167" s="26" t="str">
        <f>IF(NOT(ISBLANK(A167)),VLOOKUP(A167,Listados!$A$3:$D$1252,2,FALSE),"")</f>
        <v/>
      </c>
      <c r="E167" s="26" t="str">
        <f>IF(NOT(ISBLANK(A167)),VLOOKUP(A167,Listados!$A$3:$D$1252,4,FALSE),"")</f>
        <v/>
      </c>
      <c r="F167" s="5" t="str">
        <f t="shared" si="7"/>
        <v/>
      </c>
      <c r="G167" s="8">
        <f t="shared" si="8"/>
        <v>0</v>
      </c>
      <c r="H167" s="8"/>
      <c r="I167" s="4" t="str">
        <f t="shared" si="9"/>
        <v/>
      </c>
    </row>
    <row r="168" spans="1:9" x14ac:dyDescent="0.2">
      <c r="A168" s="25"/>
      <c r="B168" s="25"/>
      <c r="C168" s="25"/>
      <c r="D168" s="26" t="str">
        <f>IF(NOT(ISBLANK(A168)),VLOOKUP(A168,Listados!$A$3:$D$1252,2,FALSE),"")</f>
        <v/>
      </c>
      <c r="E168" s="26" t="str">
        <f>IF(NOT(ISBLANK(A168)),VLOOKUP(A168,Listados!$A$3:$D$1252,4,FALSE),"")</f>
        <v/>
      </c>
      <c r="F168" s="5" t="str">
        <f t="shared" si="7"/>
        <v/>
      </c>
      <c r="G168" s="8">
        <f t="shared" si="8"/>
        <v>0</v>
      </c>
      <c r="H168" s="8"/>
      <c r="I168" s="4" t="str">
        <f t="shared" si="9"/>
        <v/>
      </c>
    </row>
    <row r="169" spans="1:9" x14ac:dyDescent="0.2">
      <c r="A169" s="25"/>
      <c r="B169" s="25"/>
      <c r="C169" s="25"/>
      <c r="D169" s="26" t="str">
        <f>IF(NOT(ISBLANK(A169)),VLOOKUP(A169,Listados!$A$3:$D$1252,2,FALSE),"")</f>
        <v/>
      </c>
      <c r="E169" s="26" t="str">
        <f>IF(NOT(ISBLANK(A169)),VLOOKUP(A169,Listados!$A$3:$D$1252,4,FALSE),"")</f>
        <v/>
      </c>
      <c r="F169" s="5" t="str">
        <f t="shared" si="7"/>
        <v/>
      </c>
      <c r="G169" s="8">
        <f t="shared" si="8"/>
        <v>0</v>
      </c>
      <c r="H169" s="8"/>
      <c r="I169" s="4" t="str">
        <f t="shared" si="9"/>
        <v/>
      </c>
    </row>
    <row r="170" spans="1:9" x14ac:dyDescent="0.2">
      <c r="A170" s="25"/>
      <c r="B170" s="25"/>
      <c r="C170" s="25"/>
      <c r="D170" s="26" t="str">
        <f>IF(NOT(ISBLANK(A170)),VLOOKUP(A170,Listados!$A$3:$D$1252,2,FALSE),"")</f>
        <v/>
      </c>
      <c r="E170" s="26" t="str">
        <f>IF(NOT(ISBLANK(A170)),VLOOKUP(A170,Listados!$A$3:$D$1252,4,FALSE),"")</f>
        <v/>
      </c>
      <c r="F170" s="5" t="str">
        <f t="shared" si="7"/>
        <v/>
      </c>
      <c r="G170" s="8">
        <f t="shared" si="8"/>
        <v>0</v>
      </c>
      <c r="H170" s="8"/>
      <c r="I170" s="4" t="str">
        <f t="shared" si="9"/>
        <v/>
      </c>
    </row>
    <row r="171" spans="1:9" x14ac:dyDescent="0.2">
      <c r="A171" s="25"/>
      <c r="B171" s="25"/>
      <c r="C171" s="25"/>
      <c r="D171" s="26" t="str">
        <f>IF(NOT(ISBLANK(A171)),VLOOKUP(A171,Listados!$A$3:$D$1252,2,FALSE),"")</f>
        <v/>
      </c>
      <c r="E171" s="26" t="str">
        <f>IF(NOT(ISBLANK(A171)),VLOOKUP(A171,Listados!$A$3:$D$1252,4,FALSE),"")</f>
        <v/>
      </c>
      <c r="F171" s="5" t="str">
        <f t="shared" si="7"/>
        <v/>
      </c>
      <c r="G171" s="8">
        <f t="shared" si="8"/>
        <v>0</v>
      </c>
      <c r="H171" s="8"/>
      <c r="I171" s="4" t="str">
        <f t="shared" si="9"/>
        <v/>
      </c>
    </row>
    <row r="172" spans="1:9" x14ac:dyDescent="0.2">
      <c r="A172" s="25"/>
      <c r="B172" s="25"/>
      <c r="C172" s="25"/>
      <c r="D172" s="26" t="str">
        <f>IF(NOT(ISBLANK(A172)),VLOOKUP(A172,Listados!$A$3:$D$1252,2,FALSE),"")</f>
        <v/>
      </c>
      <c r="E172" s="26" t="str">
        <f>IF(NOT(ISBLANK(A172)),VLOOKUP(A172,Listados!$A$3:$D$1252,4,FALSE),"")</f>
        <v/>
      </c>
      <c r="F172" s="5" t="str">
        <f t="shared" si="7"/>
        <v/>
      </c>
      <c r="G172" s="8">
        <f t="shared" si="8"/>
        <v>0</v>
      </c>
      <c r="H172" s="8"/>
      <c r="I172" s="4" t="str">
        <f t="shared" si="9"/>
        <v/>
      </c>
    </row>
    <row r="173" spans="1:9" x14ac:dyDescent="0.2">
      <c r="A173" s="25"/>
      <c r="B173" s="25"/>
      <c r="C173" s="25"/>
      <c r="D173" s="26" t="str">
        <f>IF(NOT(ISBLANK(A173)),VLOOKUP(A173,Listados!$A$3:$D$1252,2,FALSE),"")</f>
        <v/>
      </c>
      <c r="E173" s="26" t="str">
        <f>IF(NOT(ISBLANK(A173)),VLOOKUP(A173,Listados!$A$3:$D$1252,4,FALSE),"")</f>
        <v/>
      </c>
      <c r="F173" s="5" t="str">
        <f t="shared" si="7"/>
        <v/>
      </c>
      <c r="G173" s="8">
        <f t="shared" si="8"/>
        <v>0</v>
      </c>
      <c r="H173" s="8"/>
      <c r="I173" s="4" t="str">
        <f t="shared" si="9"/>
        <v/>
      </c>
    </row>
    <row r="174" spans="1:9" x14ac:dyDescent="0.2">
      <c r="A174" s="25"/>
      <c r="B174" s="25"/>
      <c r="C174" s="25"/>
      <c r="D174" s="26" t="str">
        <f>IF(NOT(ISBLANK(A174)),VLOOKUP(A174,Listados!$A$3:$D$1252,2,FALSE),"")</f>
        <v/>
      </c>
      <c r="E174" s="26" t="str">
        <f>IF(NOT(ISBLANK(A174)),VLOOKUP(A174,Listados!$A$3:$D$1252,4,FALSE),"")</f>
        <v/>
      </c>
      <c r="F174" s="5" t="str">
        <f t="shared" si="7"/>
        <v/>
      </c>
      <c r="G174" s="8">
        <f t="shared" si="8"/>
        <v>0</v>
      </c>
      <c r="H174" s="8"/>
      <c r="I174" s="4" t="str">
        <f t="shared" si="9"/>
        <v/>
      </c>
    </row>
    <row r="175" spans="1:9" x14ac:dyDescent="0.2">
      <c r="A175" s="25"/>
      <c r="B175" s="25"/>
      <c r="C175" s="25"/>
      <c r="D175" s="26" t="str">
        <f>IF(NOT(ISBLANK(A175)),VLOOKUP(A175,Listados!$A$3:$D$1252,2,FALSE),"")</f>
        <v/>
      </c>
      <c r="E175" s="26" t="str">
        <f>IF(NOT(ISBLANK(A175)),VLOOKUP(A175,Listados!$A$3:$D$1252,4,FALSE),"")</f>
        <v/>
      </c>
      <c r="F175" s="5" t="str">
        <f t="shared" si="7"/>
        <v/>
      </c>
      <c r="G175" s="8">
        <f t="shared" si="8"/>
        <v>0</v>
      </c>
      <c r="H175" s="8"/>
      <c r="I175" s="4" t="str">
        <f t="shared" si="9"/>
        <v/>
      </c>
    </row>
    <row r="176" spans="1:9" x14ac:dyDescent="0.2">
      <c r="A176" s="25"/>
      <c r="B176" s="25"/>
      <c r="C176" s="25"/>
      <c r="D176" s="26" t="str">
        <f>IF(NOT(ISBLANK(A176)),VLOOKUP(A176,Listados!$A$3:$D$1252,2,FALSE),"")</f>
        <v/>
      </c>
      <c r="E176" s="26" t="str">
        <f>IF(NOT(ISBLANK(A176)),VLOOKUP(A176,Listados!$A$3:$D$1252,4,FALSE),"")</f>
        <v/>
      </c>
      <c r="F176" s="5" t="str">
        <f t="shared" si="7"/>
        <v/>
      </c>
      <c r="G176" s="8">
        <f t="shared" si="8"/>
        <v>0</v>
      </c>
      <c r="H176" s="8"/>
      <c r="I176" s="4" t="str">
        <f t="shared" si="9"/>
        <v/>
      </c>
    </row>
    <row r="177" spans="1:9" x14ac:dyDescent="0.2">
      <c r="A177" s="25"/>
      <c r="B177" s="25"/>
      <c r="C177" s="25"/>
      <c r="D177" s="26" t="str">
        <f>IF(NOT(ISBLANK(A177)),VLOOKUP(A177,Listados!$A$3:$D$1252,2,FALSE),"")</f>
        <v/>
      </c>
      <c r="E177" s="26" t="str">
        <f>IF(NOT(ISBLANK(A177)),VLOOKUP(A177,Listados!$A$3:$D$1252,4,FALSE),"")</f>
        <v/>
      </c>
      <c r="F177" s="5" t="str">
        <f t="shared" si="7"/>
        <v/>
      </c>
      <c r="G177" s="8">
        <f t="shared" si="8"/>
        <v>0</v>
      </c>
      <c r="H177" s="8"/>
      <c r="I177" s="4" t="str">
        <f t="shared" si="9"/>
        <v/>
      </c>
    </row>
    <row r="178" spans="1:9" x14ac:dyDescent="0.2">
      <c r="A178" s="25"/>
      <c r="B178" s="25"/>
      <c r="C178" s="25"/>
      <c r="D178" s="26" t="str">
        <f>IF(NOT(ISBLANK(A178)),VLOOKUP(A178,Listados!$A$3:$D$1252,2,FALSE),"")</f>
        <v/>
      </c>
      <c r="E178" s="26" t="str">
        <f>IF(NOT(ISBLANK(A178)),VLOOKUP(A178,Listados!$A$3:$D$1252,4,FALSE),"")</f>
        <v/>
      </c>
      <c r="F178" s="5" t="str">
        <f t="shared" si="7"/>
        <v/>
      </c>
      <c r="G178" s="8">
        <f t="shared" si="8"/>
        <v>0</v>
      </c>
      <c r="H178" s="8"/>
      <c r="I178" s="4" t="str">
        <f t="shared" si="9"/>
        <v/>
      </c>
    </row>
    <row r="179" spans="1:9" x14ac:dyDescent="0.2">
      <c r="A179" s="25"/>
      <c r="B179" s="25"/>
      <c r="C179" s="25"/>
      <c r="D179" s="26" t="str">
        <f>IF(NOT(ISBLANK(A179)),VLOOKUP(A179,Listados!$A$3:$D$1252,2,FALSE),"")</f>
        <v/>
      </c>
      <c r="E179" s="26" t="str">
        <f>IF(NOT(ISBLANK(A179)),VLOOKUP(A179,Listados!$A$3:$D$1252,4,FALSE),"")</f>
        <v/>
      </c>
      <c r="F179" s="5" t="str">
        <f t="shared" si="7"/>
        <v/>
      </c>
      <c r="G179" s="8">
        <f t="shared" si="8"/>
        <v>0</v>
      </c>
      <c r="H179" s="8"/>
      <c r="I179" s="4" t="str">
        <f t="shared" si="9"/>
        <v/>
      </c>
    </row>
    <row r="180" spans="1:9" x14ac:dyDescent="0.2">
      <c r="A180" s="25"/>
      <c r="B180" s="25"/>
      <c r="C180" s="25"/>
      <c r="D180" s="26" t="str">
        <f>IF(NOT(ISBLANK(A180)),VLOOKUP(A180,Listados!$A$3:$D$1252,2,FALSE),"")</f>
        <v/>
      </c>
      <c r="E180" s="26" t="str">
        <f>IF(NOT(ISBLANK(A180)),VLOOKUP(A180,Listados!$A$3:$D$1252,4,FALSE),"")</f>
        <v/>
      </c>
      <c r="F180" s="5" t="str">
        <f t="shared" si="7"/>
        <v/>
      </c>
      <c r="G180" s="8">
        <f t="shared" si="8"/>
        <v>0</v>
      </c>
      <c r="H180" s="8"/>
      <c r="I180" s="4" t="str">
        <f t="shared" si="9"/>
        <v/>
      </c>
    </row>
    <row r="181" spans="1:9" x14ac:dyDescent="0.2">
      <c r="A181" s="25"/>
      <c r="B181" s="25"/>
      <c r="C181" s="25"/>
      <c r="D181" s="26" t="str">
        <f>IF(NOT(ISBLANK(A181)),VLOOKUP(A181,Listados!$A$3:$D$1252,2,FALSE),"")</f>
        <v/>
      </c>
      <c r="E181" s="26" t="str">
        <f>IF(NOT(ISBLANK(A181)),VLOOKUP(A181,Listados!$A$3:$D$1252,4,FALSE),"")</f>
        <v/>
      </c>
      <c r="F181" s="5" t="str">
        <f t="shared" si="7"/>
        <v/>
      </c>
      <c r="G181" s="8">
        <f t="shared" si="8"/>
        <v>0</v>
      </c>
      <c r="H181" s="8"/>
      <c r="I181" s="4" t="str">
        <f t="shared" si="9"/>
        <v/>
      </c>
    </row>
    <row r="182" spans="1:9" x14ac:dyDescent="0.2">
      <c r="A182" s="25"/>
      <c r="B182" s="25"/>
      <c r="C182" s="25"/>
      <c r="D182" s="26" t="str">
        <f>IF(NOT(ISBLANK(A182)),VLOOKUP(A182,Listados!$A$3:$D$1252,2,FALSE),"")</f>
        <v/>
      </c>
      <c r="E182" s="26" t="str">
        <f>IF(NOT(ISBLANK(A182)),VLOOKUP(A182,Listados!$A$3:$D$1252,4,FALSE),"")</f>
        <v/>
      </c>
      <c r="F182" s="5" t="str">
        <f t="shared" si="7"/>
        <v/>
      </c>
      <c r="G182" s="8">
        <f t="shared" si="8"/>
        <v>0</v>
      </c>
      <c r="H182" s="8"/>
      <c r="I182" s="4" t="str">
        <f t="shared" si="9"/>
        <v/>
      </c>
    </row>
    <row r="183" spans="1:9" x14ac:dyDescent="0.2">
      <c r="A183" s="25"/>
      <c r="B183" s="25"/>
      <c r="C183" s="25"/>
      <c r="D183" s="26" t="str">
        <f>IF(NOT(ISBLANK(A183)),VLOOKUP(A183,Listados!$A$3:$D$1252,2,FALSE),"")</f>
        <v/>
      </c>
      <c r="E183" s="26" t="str">
        <f>IF(NOT(ISBLANK(A183)),VLOOKUP(A183,Listados!$A$3:$D$1252,4,FALSE),"")</f>
        <v/>
      </c>
      <c r="F183" s="5" t="str">
        <f t="shared" si="7"/>
        <v/>
      </c>
      <c r="G183" s="8">
        <f t="shared" si="8"/>
        <v>0</v>
      </c>
      <c r="H183" s="8"/>
      <c r="I183" s="4" t="str">
        <f t="shared" si="9"/>
        <v/>
      </c>
    </row>
    <row r="184" spans="1:9" x14ac:dyDescent="0.2">
      <c r="A184" s="25"/>
      <c r="B184" s="25"/>
      <c r="C184" s="25"/>
      <c r="D184" s="26" t="str">
        <f>IF(NOT(ISBLANK(A184)),VLOOKUP(A184,Listados!$A$3:$D$1252,2,FALSE),"")</f>
        <v/>
      </c>
      <c r="E184" s="26" t="str">
        <f>IF(NOT(ISBLANK(A184)),VLOOKUP(A184,Listados!$A$3:$D$1252,4,FALSE),"")</f>
        <v/>
      </c>
      <c r="F184" s="5" t="str">
        <f t="shared" si="7"/>
        <v/>
      </c>
      <c r="G184" s="8">
        <f t="shared" si="8"/>
        <v>0</v>
      </c>
      <c r="H184" s="8"/>
      <c r="I184" s="4" t="str">
        <f t="shared" si="9"/>
        <v/>
      </c>
    </row>
    <row r="185" spans="1:9" x14ac:dyDescent="0.2">
      <c r="A185" s="25"/>
      <c r="B185" s="25"/>
      <c r="C185" s="25"/>
      <c r="D185" s="26" t="str">
        <f>IF(NOT(ISBLANK(A185)),VLOOKUP(A185,Listados!$A$3:$D$1252,2,FALSE),"")</f>
        <v/>
      </c>
      <c r="E185" s="26" t="str">
        <f>IF(NOT(ISBLANK(A185)),VLOOKUP(A185,Listados!$A$3:$D$1252,4,FALSE),"")</f>
        <v/>
      </c>
      <c r="F185" s="5" t="str">
        <f t="shared" si="7"/>
        <v/>
      </c>
      <c r="G185" s="8">
        <f t="shared" si="8"/>
        <v>0</v>
      </c>
      <c r="H185" s="8"/>
      <c r="I185" s="4" t="str">
        <f t="shared" si="9"/>
        <v/>
      </c>
    </row>
    <row r="186" spans="1:9" x14ac:dyDescent="0.2">
      <c r="A186" s="25"/>
      <c r="B186" s="25"/>
      <c r="C186" s="25"/>
      <c r="D186" s="26" t="str">
        <f>IF(NOT(ISBLANK(A186)),VLOOKUP(A186,Listados!$A$3:$D$1252,2,FALSE),"")</f>
        <v/>
      </c>
      <c r="E186" s="26" t="str">
        <f>IF(NOT(ISBLANK(A186)),VLOOKUP(A186,Listados!$A$3:$D$1252,4,FALSE),"")</f>
        <v/>
      </c>
      <c r="F186" s="5" t="str">
        <f t="shared" si="7"/>
        <v/>
      </c>
      <c r="G186" s="8">
        <f t="shared" si="8"/>
        <v>0</v>
      </c>
      <c r="H186" s="8"/>
      <c r="I186" s="4" t="str">
        <f t="shared" si="9"/>
        <v/>
      </c>
    </row>
    <row r="187" spans="1:9" x14ac:dyDescent="0.2">
      <c r="A187" s="25"/>
      <c r="B187" s="25"/>
      <c r="C187" s="25"/>
      <c r="D187" s="26" t="str">
        <f>IF(NOT(ISBLANK(A187)),VLOOKUP(A187,Listados!$A$3:$D$1252,2,FALSE),"")</f>
        <v/>
      </c>
      <c r="E187" s="26" t="str">
        <f>IF(NOT(ISBLANK(A187)),VLOOKUP(A187,Listados!$A$3:$D$1252,4,FALSE),"")</f>
        <v/>
      </c>
      <c r="F187" s="5" t="str">
        <f t="shared" si="7"/>
        <v/>
      </c>
      <c r="G187" s="8">
        <f t="shared" si="8"/>
        <v>0</v>
      </c>
      <c r="H187" s="8"/>
      <c r="I187" s="4" t="str">
        <f t="shared" si="9"/>
        <v/>
      </c>
    </row>
    <row r="188" spans="1:9" x14ac:dyDescent="0.2">
      <c r="A188" s="25"/>
      <c r="B188" s="25"/>
      <c r="C188" s="25"/>
      <c r="D188" s="26" t="str">
        <f>IF(NOT(ISBLANK(A188)),VLOOKUP(A188,Listados!$A$3:$D$1252,2,FALSE),"")</f>
        <v/>
      </c>
      <c r="E188" s="26" t="str">
        <f>IF(NOT(ISBLANK(A188)),VLOOKUP(A188,Listados!$A$3:$D$1252,4,FALSE),"")</f>
        <v/>
      </c>
      <c r="F188" s="5" t="str">
        <f t="shared" si="7"/>
        <v/>
      </c>
      <c r="G188" s="8">
        <f t="shared" si="8"/>
        <v>0</v>
      </c>
      <c r="H188" s="8"/>
      <c r="I188" s="4" t="str">
        <f t="shared" si="9"/>
        <v/>
      </c>
    </row>
    <row r="189" spans="1:9" x14ac:dyDescent="0.2">
      <c r="A189" s="25"/>
      <c r="B189" s="25"/>
      <c r="C189" s="25"/>
      <c r="D189" s="26" t="str">
        <f>IF(NOT(ISBLANK(A189)),VLOOKUP(A189,Listados!$A$3:$D$1252,2,FALSE),"")</f>
        <v/>
      </c>
      <c r="E189" s="26" t="str">
        <f>IF(NOT(ISBLANK(A189)),VLOOKUP(A189,Listados!$A$3:$D$1252,4,FALSE),"")</f>
        <v/>
      </c>
      <c r="F189" s="5" t="str">
        <f t="shared" si="7"/>
        <v/>
      </c>
      <c r="G189" s="8">
        <f t="shared" si="8"/>
        <v>0</v>
      </c>
      <c r="H189" s="8"/>
      <c r="I189" s="4" t="str">
        <f t="shared" si="9"/>
        <v/>
      </c>
    </row>
    <row r="190" spans="1:9" x14ac:dyDescent="0.2">
      <c r="A190" s="25"/>
      <c r="B190" s="25"/>
      <c r="C190" s="25"/>
      <c r="D190" s="26" t="str">
        <f>IF(NOT(ISBLANK(A190)),VLOOKUP(A190,Listados!$A$3:$D$1252,2,FALSE),"")</f>
        <v/>
      </c>
      <c r="E190" s="26" t="str">
        <f>IF(NOT(ISBLANK(A190)),VLOOKUP(A190,Listados!$A$3:$D$1252,4,FALSE),"")</f>
        <v/>
      </c>
      <c r="F190" s="5" t="str">
        <f t="shared" si="7"/>
        <v/>
      </c>
      <c r="G190" s="8">
        <f t="shared" si="8"/>
        <v>0</v>
      </c>
      <c r="H190" s="8"/>
      <c r="I190" s="4" t="str">
        <f t="shared" si="9"/>
        <v/>
      </c>
    </row>
    <row r="191" spans="1:9" x14ac:dyDescent="0.2">
      <c r="A191" s="25"/>
      <c r="B191" s="25"/>
      <c r="C191" s="25"/>
      <c r="D191" s="26" t="str">
        <f>IF(NOT(ISBLANK(A191)),VLOOKUP(A191,Listados!$A$3:$D$1252,2,FALSE),"")</f>
        <v/>
      </c>
      <c r="E191" s="26" t="str">
        <f>IF(NOT(ISBLANK(A191)),VLOOKUP(A191,Listados!$A$3:$D$1252,4,FALSE),"")</f>
        <v/>
      </c>
      <c r="F191" s="5" t="str">
        <f t="shared" si="7"/>
        <v/>
      </c>
      <c r="G191" s="8">
        <f t="shared" si="8"/>
        <v>0</v>
      </c>
      <c r="H191" s="8"/>
      <c r="I191" s="4" t="str">
        <f t="shared" si="9"/>
        <v/>
      </c>
    </row>
    <row r="192" spans="1:9" x14ac:dyDescent="0.2">
      <c r="A192" s="25"/>
      <c r="B192" s="25"/>
      <c r="C192" s="25"/>
      <c r="D192" s="26" t="str">
        <f>IF(NOT(ISBLANK(A192)),VLOOKUP(A192,Listados!$A$3:$D$1252,2,FALSE),"")</f>
        <v/>
      </c>
      <c r="E192" s="26" t="str">
        <f>IF(NOT(ISBLANK(A192)),VLOOKUP(A192,Listados!$A$3:$D$1252,4,FALSE),"")</f>
        <v/>
      </c>
      <c r="F192" s="5" t="str">
        <f t="shared" si="7"/>
        <v/>
      </c>
      <c r="G192" s="8">
        <f t="shared" si="8"/>
        <v>0</v>
      </c>
      <c r="H192" s="8"/>
      <c r="I192" s="4" t="str">
        <f t="shared" si="9"/>
        <v/>
      </c>
    </row>
    <row r="193" spans="1:9" x14ac:dyDescent="0.2">
      <c r="A193" s="25"/>
      <c r="B193" s="25"/>
      <c r="C193" s="25"/>
      <c r="D193" s="26" t="str">
        <f>IF(NOT(ISBLANK(A193)),VLOOKUP(A193,Listados!$A$3:$D$1252,2,FALSE),"")</f>
        <v/>
      </c>
      <c r="E193" s="26" t="str">
        <f>IF(NOT(ISBLANK(A193)),VLOOKUP(A193,Listados!$A$3:$D$1252,4,FALSE),"")</f>
        <v/>
      </c>
      <c r="F193" s="5" t="str">
        <f t="shared" si="7"/>
        <v/>
      </c>
      <c r="G193" s="8">
        <f t="shared" si="8"/>
        <v>0</v>
      </c>
      <c r="H193" s="8"/>
      <c r="I193" s="4" t="str">
        <f t="shared" si="9"/>
        <v/>
      </c>
    </row>
    <row r="194" spans="1:9" x14ac:dyDescent="0.2">
      <c r="A194" s="25"/>
      <c r="B194" s="25"/>
      <c r="C194" s="25"/>
      <c r="D194" s="26" t="str">
        <f>IF(NOT(ISBLANK(A194)),VLOOKUP(A194,Listados!$A$3:$D$1252,2,FALSE),"")</f>
        <v/>
      </c>
      <c r="E194" s="26" t="str">
        <f>IF(NOT(ISBLANK(A194)),VLOOKUP(A194,Listados!$A$3:$D$1252,4,FALSE),"")</f>
        <v/>
      </c>
      <c r="F194" s="5" t="str">
        <f t="shared" si="7"/>
        <v/>
      </c>
      <c r="G194" s="8">
        <f t="shared" si="8"/>
        <v>0</v>
      </c>
      <c r="H194" s="8"/>
      <c r="I194" s="4" t="str">
        <f t="shared" si="9"/>
        <v/>
      </c>
    </row>
    <row r="195" spans="1:9" x14ac:dyDescent="0.2">
      <c r="A195" s="25"/>
      <c r="B195" s="25"/>
      <c r="C195" s="25"/>
      <c r="D195" s="26" t="str">
        <f>IF(NOT(ISBLANK(A195)),VLOOKUP(A195,Listados!$A$3:$D$1252,2,FALSE),"")</f>
        <v/>
      </c>
      <c r="E195" s="26" t="str">
        <f>IF(NOT(ISBLANK(A195)),VLOOKUP(A195,Listados!$A$3:$D$1252,4,FALSE),"")</f>
        <v/>
      </c>
      <c r="F195" s="5" t="str">
        <f t="shared" si="7"/>
        <v/>
      </c>
      <c r="G195" s="8">
        <f t="shared" si="8"/>
        <v>0</v>
      </c>
      <c r="H195" s="8"/>
      <c r="I195" s="4" t="str">
        <f t="shared" si="9"/>
        <v/>
      </c>
    </row>
    <row r="196" spans="1:9" x14ac:dyDescent="0.2">
      <c r="A196" s="25"/>
      <c r="B196" s="25"/>
      <c r="C196" s="25"/>
      <c r="D196" s="26" t="str">
        <f>IF(NOT(ISBLANK(A196)),VLOOKUP(A196,Listados!$A$3:$D$1252,2,FALSE),"")</f>
        <v/>
      </c>
      <c r="E196" s="26" t="str">
        <f>IF(NOT(ISBLANK(A196)),VLOOKUP(A196,Listados!$A$3:$D$1252,4,FALSE),"")</f>
        <v/>
      </c>
      <c r="F196" s="5" t="str">
        <f t="shared" si="7"/>
        <v/>
      </c>
      <c r="G196" s="8">
        <f t="shared" si="8"/>
        <v>0</v>
      </c>
      <c r="H196" s="8"/>
      <c r="I196" s="4" t="str">
        <f t="shared" si="9"/>
        <v/>
      </c>
    </row>
    <row r="197" spans="1:9" x14ac:dyDescent="0.2">
      <c r="A197" s="25"/>
      <c r="B197" s="25"/>
      <c r="C197" s="25"/>
      <c r="D197" s="26" t="str">
        <f>IF(NOT(ISBLANK(A197)),VLOOKUP(A197,Listados!$A$3:$D$1252,2,FALSE),"")</f>
        <v/>
      </c>
      <c r="E197" s="26" t="str">
        <f>IF(NOT(ISBLANK(A197)),VLOOKUP(A197,Listados!$A$3:$D$1252,4,FALSE),"")</f>
        <v/>
      </c>
      <c r="F197" s="5" t="str">
        <f t="shared" si="7"/>
        <v/>
      </c>
      <c r="G197" s="8">
        <f t="shared" si="8"/>
        <v>0</v>
      </c>
      <c r="H197" s="8"/>
      <c r="I197" s="4" t="str">
        <f t="shared" si="9"/>
        <v/>
      </c>
    </row>
    <row r="198" spans="1:9" x14ac:dyDescent="0.2">
      <c r="A198" s="25"/>
      <c r="B198" s="25"/>
      <c r="C198" s="25"/>
      <c r="D198" s="26" t="str">
        <f>IF(NOT(ISBLANK(A198)),VLOOKUP(A198,Listados!$A$3:$D$1252,2,FALSE),"")</f>
        <v/>
      </c>
      <c r="E198" s="26" t="str">
        <f>IF(NOT(ISBLANK(A198)),VLOOKUP(A198,Listados!$A$3:$D$1252,4,FALSE),"")</f>
        <v/>
      </c>
      <c r="F198" s="5" t="str">
        <f t="shared" si="7"/>
        <v/>
      </c>
      <c r="G198" s="8">
        <f t="shared" si="8"/>
        <v>0</v>
      </c>
      <c r="H198" s="8"/>
      <c r="I198" s="4" t="str">
        <f t="shared" si="9"/>
        <v/>
      </c>
    </row>
    <row r="199" spans="1:9" x14ac:dyDescent="0.2">
      <c r="A199" s="25"/>
      <c r="B199" s="25"/>
      <c r="C199" s="25"/>
      <c r="D199" s="26" t="str">
        <f>IF(NOT(ISBLANK(A199)),VLOOKUP(A199,Listados!$A$3:$D$1252,2,FALSE),"")</f>
        <v/>
      </c>
      <c r="E199" s="26" t="str">
        <f>IF(NOT(ISBLANK(A199)),VLOOKUP(A199,Listados!$A$3:$D$1252,4,FALSE),"")</f>
        <v/>
      </c>
      <c r="F199" s="5" t="str">
        <f t="shared" si="7"/>
        <v/>
      </c>
      <c r="G199" s="8">
        <f t="shared" si="8"/>
        <v>0</v>
      </c>
      <c r="H199" s="8"/>
      <c r="I199" s="4" t="str">
        <f t="shared" si="9"/>
        <v/>
      </c>
    </row>
    <row r="200" spans="1:9" x14ac:dyDescent="0.2">
      <c r="A200" s="25"/>
      <c r="B200" s="25"/>
      <c r="C200" s="25"/>
      <c r="D200" s="26" t="str">
        <f>IF(NOT(ISBLANK(A200)),VLOOKUP(A200,Listados!$A$3:$D$1252,2,FALSE),"")</f>
        <v/>
      </c>
      <c r="E200" s="26" t="str">
        <f>IF(NOT(ISBLANK(A200)),VLOOKUP(A200,Listados!$A$3:$D$1252,4,FALSE),"")</f>
        <v/>
      </c>
      <c r="F200" s="5" t="str">
        <f t="shared" si="7"/>
        <v/>
      </c>
      <c r="G200" s="8">
        <f t="shared" si="8"/>
        <v>0</v>
      </c>
      <c r="H200" s="8"/>
      <c r="I200" s="4" t="str">
        <f t="shared" si="9"/>
        <v/>
      </c>
    </row>
    <row r="201" spans="1:9" x14ac:dyDescent="0.2">
      <c r="A201" s="25"/>
      <c r="B201" s="25"/>
      <c r="C201" s="25"/>
      <c r="D201" s="26" t="str">
        <f>IF(NOT(ISBLANK(A201)),VLOOKUP(A201,Listados!$A$3:$D$1252,2,FALSE),"")</f>
        <v/>
      </c>
      <c r="E201" s="26" t="str">
        <f>IF(NOT(ISBLANK(A201)),VLOOKUP(A201,Listados!$A$3:$D$1252,4,FALSE),"")</f>
        <v/>
      </c>
      <c r="F201" s="5" t="str">
        <f t="shared" si="7"/>
        <v/>
      </c>
      <c r="G201" s="8">
        <f t="shared" si="8"/>
        <v>0</v>
      </c>
      <c r="H201" s="8"/>
      <c r="I201" s="4" t="str">
        <f t="shared" si="9"/>
        <v/>
      </c>
    </row>
    <row r="202" spans="1:9" x14ac:dyDescent="0.2">
      <c r="A202" s="25"/>
      <c r="B202" s="25"/>
      <c r="C202" s="25"/>
      <c r="D202" s="26" t="str">
        <f>IF(NOT(ISBLANK(A202)),VLOOKUP(A202,Listados!$A$3:$D$1252,2,FALSE),"")</f>
        <v/>
      </c>
      <c r="E202" s="26" t="str">
        <f>IF(NOT(ISBLANK(A202)),VLOOKUP(A202,Listados!$A$3:$D$1252,4,FALSE),"")</f>
        <v/>
      </c>
      <c r="F202" s="5" t="str">
        <f t="shared" si="7"/>
        <v/>
      </c>
      <c r="G202" s="8">
        <f t="shared" si="8"/>
        <v>0</v>
      </c>
      <c r="H202" s="8"/>
      <c r="I202" s="4" t="str">
        <f t="shared" si="9"/>
        <v/>
      </c>
    </row>
    <row r="203" spans="1:9" x14ac:dyDescent="0.2">
      <c r="A203" s="25"/>
      <c r="B203" s="25"/>
      <c r="C203" s="25"/>
      <c r="D203" s="26" t="str">
        <f>IF(NOT(ISBLANK(A203)),VLOOKUP(A203,Listados!$A$3:$D$1252,2,FALSE),"")</f>
        <v/>
      </c>
      <c r="E203" s="26" t="str">
        <f>IF(NOT(ISBLANK(A203)),VLOOKUP(A203,Listados!$A$3:$D$1252,4,FALSE),"")</f>
        <v/>
      </c>
      <c r="F203" s="5" t="str">
        <f t="shared" si="7"/>
        <v/>
      </c>
      <c r="G203" s="8">
        <f t="shared" si="8"/>
        <v>0</v>
      </c>
      <c r="H203" s="8"/>
      <c r="I203" s="4" t="str">
        <f t="shared" si="9"/>
        <v/>
      </c>
    </row>
    <row r="204" spans="1:9" x14ac:dyDescent="0.2">
      <c r="A204" s="25"/>
      <c r="B204" s="25"/>
      <c r="C204" s="25"/>
      <c r="D204" s="26" t="str">
        <f>IF(NOT(ISBLANK(A204)),VLOOKUP(A204,Listados!$A$3:$D$1252,2,FALSE),"")</f>
        <v/>
      </c>
      <c r="E204" s="26" t="str">
        <f>IF(NOT(ISBLANK(A204)),VLOOKUP(A204,Listados!$A$3:$D$1252,4,FALSE),"")</f>
        <v/>
      </c>
      <c r="F204" s="5" t="str">
        <f t="shared" si="7"/>
        <v/>
      </c>
      <c r="G204" s="8">
        <f t="shared" si="8"/>
        <v>0</v>
      </c>
      <c r="H204" s="8"/>
      <c r="I204" s="4" t="str">
        <f t="shared" si="9"/>
        <v/>
      </c>
    </row>
    <row r="205" spans="1:9" x14ac:dyDescent="0.2">
      <c r="A205" s="25"/>
      <c r="B205" s="25"/>
      <c r="C205" s="25"/>
      <c r="D205" s="26" t="str">
        <f>IF(NOT(ISBLANK(A205)),VLOOKUP(A205,Listados!$A$3:$D$1252,2,FALSE),"")</f>
        <v/>
      </c>
      <c r="E205" s="26" t="str">
        <f>IF(NOT(ISBLANK(A205)),VLOOKUP(A205,Listados!$A$3:$D$1252,4,FALSE),"")</f>
        <v/>
      </c>
      <c r="F205" s="5" t="str">
        <f t="shared" si="7"/>
        <v/>
      </c>
      <c r="G205" s="8">
        <f t="shared" si="8"/>
        <v>0</v>
      </c>
      <c r="H205" s="8"/>
      <c r="I205" s="4" t="str">
        <f t="shared" si="9"/>
        <v/>
      </c>
    </row>
    <row r="206" spans="1:9" x14ac:dyDescent="0.2">
      <c r="A206" s="25"/>
      <c r="B206" s="25"/>
      <c r="C206" s="25"/>
      <c r="D206" s="26" t="str">
        <f>IF(NOT(ISBLANK(A206)),VLOOKUP(A206,Listados!$A$3:$D$1252,2,FALSE),"")</f>
        <v/>
      </c>
      <c r="E206" s="26" t="str">
        <f>IF(NOT(ISBLANK(A206)),VLOOKUP(A206,Listados!$A$3:$D$1252,4,FALSE),"")</f>
        <v/>
      </c>
      <c r="F206" s="5" t="str">
        <f t="shared" si="7"/>
        <v/>
      </c>
      <c r="G206" s="8">
        <f t="shared" si="8"/>
        <v>0</v>
      </c>
      <c r="H206" s="8"/>
      <c r="I206" s="4" t="str">
        <f t="shared" si="9"/>
        <v/>
      </c>
    </row>
    <row r="207" spans="1:9" x14ac:dyDescent="0.2">
      <c r="A207" s="25"/>
      <c r="B207" s="25"/>
      <c r="C207" s="25"/>
      <c r="D207" s="26" t="str">
        <f>IF(NOT(ISBLANK(A207)),VLOOKUP(A207,Listados!$A$3:$D$1252,2,FALSE),"")</f>
        <v/>
      </c>
      <c r="E207" s="26" t="str">
        <f>IF(NOT(ISBLANK(A207)),VLOOKUP(A207,Listados!$A$3:$D$1252,4,FALSE),"")</f>
        <v/>
      </c>
      <c r="F207" s="5" t="str">
        <f t="shared" si="7"/>
        <v/>
      </c>
      <c r="G207" s="8">
        <f t="shared" si="8"/>
        <v>0</v>
      </c>
      <c r="H207" s="8"/>
      <c r="I207" s="4" t="str">
        <f t="shared" si="9"/>
        <v/>
      </c>
    </row>
    <row r="208" spans="1:9" x14ac:dyDescent="0.2">
      <c r="A208" s="25"/>
      <c r="B208" s="25"/>
      <c r="C208" s="25"/>
      <c r="D208" s="26" t="str">
        <f>IF(NOT(ISBLANK(A208)),VLOOKUP(A208,Listados!$A$3:$D$1252,2,FALSE),"")</f>
        <v/>
      </c>
      <c r="E208" s="26" t="str">
        <f>IF(NOT(ISBLANK(A208)),VLOOKUP(A208,Listados!$A$3:$D$1252,4,FALSE),"")</f>
        <v/>
      </c>
      <c r="F208" s="5" t="str">
        <f t="shared" ref="F208:F264" si="10">IF(ISERROR(D208),"El código de ciudad no es válido",IF(AND(NOT(ISNUMBER(SUM(B208:C208))),NOT(A208="")),"Escriba la muestra para esta ciudad",""))</f>
        <v/>
      </c>
      <c r="G208" s="8">
        <f t="shared" ref="G208:G264" si="11">IF(NOT(F208=""),1,0)</f>
        <v>0</v>
      </c>
      <c r="H208" s="8"/>
      <c r="I208" s="4" t="str">
        <f t="shared" si="9"/>
        <v/>
      </c>
    </row>
    <row r="209" spans="1:9" x14ac:dyDescent="0.2">
      <c r="A209" s="25"/>
      <c r="B209" s="25"/>
      <c r="C209" s="25"/>
      <c r="D209" s="26" t="str">
        <f>IF(NOT(ISBLANK(A209)),VLOOKUP(A209,Listados!$A$3:$D$1252,2,FALSE),"")</f>
        <v/>
      </c>
      <c r="E209" s="26" t="str">
        <f>IF(NOT(ISBLANK(A209)),VLOOKUP(A209,Listados!$A$3:$D$1252,4,FALSE),"")</f>
        <v/>
      </c>
      <c r="F209" s="5" t="str">
        <f t="shared" si="10"/>
        <v/>
      </c>
      <c r="G209" s="8">
        <f t="shared" si="11"/>
        <v>0</v>
      </c>
      <c r="H209" s="8"/>
      <c r="I209" s="4" t="str">
        <f t="shared" ref="I209:I264" si="12">_xlfn.CONCAT(IF(AND(NOT(A209=""),ISNUMBER(B209)),"EXEC [dbo].[IQ_InsertarMuestra_WORK] "&amp;A209&amp;", "&amp;B209&amp;", 40, "&amp;$I$8&amp;", "&amp;$I$11&amp;", "&amp;$I$10&amp;", "&amp;$I$9&amp;";",""),IF(AND(NOT(A209=""),ISNUMBER(C209)),"EXEC [dbo].[IQ_InsertarMuestra_WORK] "&amp;A209&amp;", "&amp;C209&amp;", 50, "&amp;$I$8&amp;", "&amp;$I$11&amp;", "&amp;$I$10&amp;", "&amp;$I$9&amp;";",""))</f>
        <v/>
      </c>
    </row>
    <row r="210" spans="1:9" x14ac:dyDescent="0.2">
      <c r="A210" s="25"/>
      <c r="B210" s="25"/>
      <c r="C210" s="25"/>
      <c r="D210" s="26" t="str">
        <f>IF(NOT(ISBLANK(A210)),VLOOKUP(A210,Listados!$A$3:$D$1252,2,FALSE),"")</f>
        <v/>
      </c>
      <c r="E210" s="26" t="str">
        <f>IF(NOT(ISBLANK(A210)),VLOOKUP(A210,Listados!$A$3:$D$1252,4,FALSE),"")</f>
        <v/>
      </c>
      <c r="F210" s="5" t="str">
        <f t="shared" si="10"/>
        <v/>
      </c>
      <c r="G210" s="8">
        <f t="shared" si="11"/>
        <v>0</v>
      </c>
      <c r="H210" s="8"/>
      <c r="I210" s="4" t="str">
        <f t="shared" si="12"/>
        <v/>
      </c>
    </row>
    <row r="211" spans="1:9" x14ac:dyDescent="0.2">
      <c r="A211" s="25"/>
      <c r="B211" s="25"/>
      <c r="C211" s="25"/>
      <c r="D211" s="26" t="str">
        <f>IF(NOT(ISBLANK(A211)),VLOOKUP(A211,Listados!$A$3:$D$1252,2,FALSE),"")</f>
        <v/>
      </c>
      <c r="E211" s="26" t="str">
        <f>IF(NOT(ISBLANK(A211)),VLOOKUP(A211,Listados!$A$3:$D$1252,4,FALSE),"")</f>
        <v/>
      </c>
      <c r="F211" s="5" t="str">
        <f t="shared" si="10"/>
        <v/>
      </c>
      <c r="G211" s="8">
        <f t="shared" si="11"/>
        <v>0</v>
      </c>
      <c r="H211" s="8"/>
      <c r="I211" s="4" t="str">
        <f t="shared" si="12"/>
        <v/>
      </c>
    </row>
    <row r="212" spans="1:9" x14ac:dyDescent="0.2">
      <c r="A212" s="25"/>
      <c r="B212" s="25"/>
      <c r="C212" s="25"/>
      <c r="D212" s="26" t="str">
        <f>IF(NOT(ISBLANK(A212)),VLOOKUP(A212,Listados!$A$3:$D$1252,2,FALSE),"")</f>
        <v/>
      </c>
      <c r="E212" s="26" t="str">
        <f>IF(NOT(ISBLANK(A212)),VLOOKUP(A212,Listados!$A$3:$D$1252,4,FALSE),"")</f>
        <v/>
      </c>
      <c r="F212" s="5" t="str">
        <f t="shared" si="10"/>
        <v/>
      </c>
      <c r="G212" s="8">
        <f t="shared" si="11"/>
        <v>0</v>
      </c>
      <c r="H212" s="8"/>
      <c r="I212" s="4" t="str">
        <f t="shared" si="12"/>
        <v/>
      </c>
    </row>
    <row r="213" spans="1:9" x14ac:dyDescent="0.2">
      <c r="A213" s="25"/>
      <c r="B213" s="25"/>
      <c r="C213" s="25"/>
      <c r="D213" s="26" t="str">
        <f>IF(NOT(ISBLANK(A213)),VLOOKUP(A213,Listados!$A$3:$D$1252,2,FALSE),"")</f>
        <v/>
      </c>
      <c r="E213" s="26" t="str">
        <f>IF(NOT(ISBLANK(A213)),VLOOKUP(A213,Listados!$A$3:$D$1252,4,FALSE),"")</f>
        <v/>
      </c>
      <c r="F213" s="5" t="str">
        <f t="shared" si="10"/>
        <v/>
      </c>
      <c r="G213" s="8">
        <f t="shared" si="11"/>
        <v>0</v>
      </c>
      <c r="H213" s="8"/>
      <c r="I213" s="4" t="str">
        <f t="shared" si="12"/>
        <v/>
      </c>
    </row>
    <row r="214" spans="1:9" x14ac:dyDescent="0.2">
      <c r="A214" s="25"/>
      <c r="B214" s="25"/>
      <c r="C214" s="25"/>
      <c r="D214" s="26" t="str">
        <f>IF(NOT(ISBLANK(A214)),VLOOKUP(A214,Listados!$A$3:$D$1252,2,FALSE),"")</f>
        <v/>
      </c>
      <c r="E214" s="26" t="str">
        <f>IF(NOT(ISBLANK(A214)),VLOOKUP(A214,Listados!$A$3:$D$1252,4,FALSE),"")</f>
        <v/>
      </c>
      <c r="F214" s="5" t="str">
        <f t="shared" si="10"/>
        <v/>
      </c>
      <c r="G214" s="8">
        <f t="shared" si="11"/>
        <v>0</v>
      </c>
      <c r="H214" s="8"/>
      <c r="I214" s="4" t="str">
        <f t="shared" si="12"/>
        <v/>
      </c>
    </row>
    <row r="215" spans="1:9" x14ac:dyDescent="0.2">
      <c r="A215" s="25"/>
      <c r="B215" s="25"/>
      <c r="C215" s="25"/>
      <c r="D215" s="26" t="str">
        <f>IF(NOT(ISBLANK(A215)),VLOOKUP(A215,Listados!$A$3:$D$1252,2,FALSE),"")</f>
        <v/>
      </c>
      <c r="E215" s="26" t="str">
        <f>IF(NOT(ISBLANK(A215)),VLOOKUP(A215,Listados!$A$3:$D$1252,4,FALSE),"")</f>
        <v/>
      </c>
      <c r="F215" s="5" t="str">
        <f t="shared" si="10"/>
        <v/>
      </c>
      <c r="G215" s="8">
        <f t="shared" si="11"/>
        <v>0</v>
      </c>
      <c r="H215" s="8"/>
      <c r="I215" s="4" t="str">
        <f t="shared" si="12"/>
        <v/>
      </c>
    </row>
    <row r="216" spans="1:9" x14ac:dyDescent="0.2">
      <c r="A216" s="25"/>
      <c r="B216" s="25"/>
      <c r="C216" s="25"/>
      <c r="D216" s="26" t="str">
        <f>IF(NOT(ISBLANK(A216)),VLOOKUP(A216,Listados!$A$3:$D$1252,2,FALSE),"")</f>
        <v/>
      </c>
      <c r="E216" s="26" t="str">
        <f>IF(NOT(ISBLANK(A216)),VLOOKUP(A216,Listados!$A$3:$D$1252,4,FALSE),"")</f>
        <v/>
      </c>
      <c r="F216" s="5" t="str">
        <f t="shared" si="10"/>
        <v/>
      </c>
      <c r="G216" s="8">
        <f t="shared" si="11"/>
        <v>0</v>
      </c>
      <c r="H216" s="8"/>
      <c r="I216" s="4" t="str">
        <f t="shared" si="12"/>
        <v/>
      </c>
    </row>
    <row r="217" spans="1:9" x14ac:dyDescent="0.2">
      <c r="A217" s="25"/>
      <c r="B217" s="25"/>
      <c r="C217" s="25"/>
      <c r="D217" s="26" t="str">
        <f>IF(NOT(ISBLANK(A217)),VLOOKUP(A217,Listados!$A$3:$D$1252,2,FALSE),"")</f>
        <v/>
      </c>
      <c r="E217" s="26" t="str">
        <f>IF(NOT(ISBLANK(A217)),VLOOKUP(A217,Listados!$A$3:$D$1252,4,FALSE),"")</f>
        <v/>
      </c>
      <c r="F217" s="5" t="str">
        <f t="shared" si="10"/>
        <v/>
      </c>
      <c r="G217" s="8">
        <f t="shared" si="11"/>
        <v>0</v>
      </c>
      <c r="H217" s="8"/>
      <c r="I217" s="4" t="str">
        <f t="shared" si="12"/>
        <v/>
      </c>
    </row>
    <row r="218" spans="1:9" x14ac:dyDescent="0.2">
      <c r="A218" s="25"/>
      <c r="B218" s="25"/>
      <c r="C218" s="25"/>
      <c r="D218" s="26" t="str">
        <f>IF(NOT(ISBLANK(A218)),VLOOKUP(A218,Listados!$A$3:$D$1252,2,FALSE),"")</f>
        <v/>
      </c>
      <c r="E218" s="26" t="str">
        <f>IF(NOT(ISBLANK(A218)),VLOOKUP(A218,Listados!$A$3:$D$1252,4,FALSE),"")</f>
        <v/>
      </c>
      <c r="F218" s="5" t="str">
        <f t="shared" si="10"/>
        <v/>
      </c>
      <c r="G218" s="8">
        <f t="shared" si="11"/>
        <v>0</v>
      </c>
      <c r="H218" s="8"/>
      <c r="I218" s="4" t="str">
        <f t="shared" si="12"/>
        <v/>
      </c>
    </row>
    <row r="219" spans="1:9" x14ac:dyDescent="0.2">
      <c r="A219" s="25"/>
      <c r="B219" s="25"/>
      <c r="C219" s="25"/>
      <c r="D219" s="26" t="str">
        <f>IF(NOT(ISBLANK(A219)),VLOOKUP(A219,Listados!$A$3:$D$1252,2,FALSE),"")</f>
        <v/>
      </c>
      <c r="E219" s="26" t="str">
        <f>IF(NOT(ISBLANK(A219)),VLOOKUP(A219,Listados!$A$3:$D$1252,4,FALSE),"")</f>
        <v/>
      </c>
      <c r="F219" s="5" t="str">
        <f t="shared" si="10"/>
        <v/>
      </c>
      <c r="G219" s="8">
        <f t="shared" si="11"/>
        <v>0</v>
      </c>
      <c r="H219" s="8"/>
      <c r="I219" s="4" t="str">
        <f t="shared" si="12"/>
        <v/>
      </c>
    </row>
    <row r="220" spans="1:9" x14ac:dyDescent="0.2">
      <c r="A220" s="25"/>
      <c r="B220" s="25"/>
      <c r="C220" s="25"/>
      <c r="D220" s="26" t="str">
        <f>IF(NOT(ISBLANK(A220)),VLOOKUP(A220,Listados!$A$3:$D$1252,2,FALSE),"")</f>
        <v/>
      </c>
      <c r="E220" s="26" t="str">
        <f>IF(NOT(ISBLANK(A220)),VLOOKUP(A220,Listados!$A$3:$D$1252,4,FALSE),"")</f>
        <v/>
      </c>
      <c r="F220" s="5" t="str">
        <f t="shared" si="10"/>
        <v/>
      </c>
      <c r="G220" s="8">
        <f t="shared" si="11"/>
        <v>0</v>
      </c>
      <c r="H220" s="8"/>
      <c r="I220" s="4" t="str">
        <f t="shared" si="12"/>
        <v/>
      </c>
    </row>
    <row r="221" spans="1:9" x14ac:dyDescent="0.2">
      <c r="A221" s="25"/>
      <c r="B221" s="25"/>
      <c r="C221" s="25"/>
      <c r="D221" s="26" t="str">
        <f>IF(NOT(ISBLANK(A221)),VLOOKUP(A221,Listados!$A$3:$D$1252,2,FALSE),"")</f>
        <v/>
      </c>
      <c r="E221" s="26" t="str">
        <f>IF(NOT(ISBLANK(A221)),VLOOKUP(A221,Listados!$A$3:$D$1252,4,FALSE),"")</f>
        <v/>
      </c>
      <c r="F221" s="5" t="str">
        <f t="shared" si="10"/>
        <v/>
      </c>
      <c r="G221" s="8">
        <f t="shared" si="11"/>
        <v>0</v>
      </c>
      <c r="H221" s="8"/>
      <c r="I221" s="4" t="str">
        <f t="shared" si="12"/>
        <v/>
      </c>
    </row>
    <row r="222" spans="1:9" x14ac:dyDescent="0.2">
      <c r="A222" s="25"/>
      <c r="B222" s="25"/>
      <c r="C222" s="25"/>
      <c r="D222" s="26" t="str">
        <f>IF(NOT(ISBLANK(A222)),VLOOKUP(A222,Listados!$A$3:$D$1252,2,FALSE),"")</f>
        <v/>
      </c>
      <c r="E222" s="26" t="str">
        <f>IF(NOT(ISBLANK(A222)),VLOOKUP(A222,Listados!$A$3:$D$1252,4,FALSE),"")</f>
        <v/>
      </c>
      <c r="F222" s="5" t="str">
        <f t="shared" si="10"/>
        <v/>
      </c>
      <c r="G222" s="8">
        <f t="shared" si="11"/>
        <v>0</v>
      </c>
      <c r="H222" s="8"/>
      <c r="I222" s="4" t="str">
        <f t="shared" si="12"/>
        <v/>
      </c>
    </row>
    <row r="223" spans="1:9" x14ac:dyDescent="0.2">
      <c r="A223" s="25"/>
      <c r="B223" s="25"/>
      <c r="C223" s="25"/>
      <c r="D223" s="26" t="str">
        <f>IF(NOT(ISBLANK(A223)),VLOOKUP(A223,Listados!$A$3:$D$1252,2,FALSE),"")</f>
        <v/>
      </c>
      <c r="E223" s="26" t="str">
        <f>IF(NOT(ISBLANK(A223)),VLOOKUP(A223,Listados!$A$3:$D$1252,4,FALSE),"")</f>
        <v/>
      </c>
      <c r="F223" s="5" t="str">
        <f t="shared" si="10"/>
        <v/>
      </c>
      <c r="G223" s="8">
        <f t="shared" si="11"/>
        <v>0</v>
      </c>
      <c r="H223" s="8"/>
      <c r="I223" s="4" t="str">
        <f t="shared" si="12"/>
        <v/>
      </c>
    </row>
    <row r="224" spans="1:9" x14ac:dyDescent="0.2">
      <c r="A224" s="25"/>
      <c r="B224" s="25"/>
      <c r="C224" s="25"/>
      <c r="D224" s="26" t="str">
        <f>IF(NOT(ISBLANK(A224)),VLOOKUP(A224,Listados!$A$3:$D$1252,2,FALSE),"")</f>
        <v/>
      </c>
      <c r="E224" s="26" t="str">
        <f>IF(NOT(ISBLANK(A224)),VLOOKUP(A224,Listados!$A$3:$D$1252,4,FALSE),"")</f>
        <v/>
      </c>
      <c r="F224" s="5" t="str">
        <f t="shared" si="10"/>
        <v/>
      </c>
      <c r="G224" s="8">
        <f t="shared" si="11"/>
        <v>0</v>
      </c>
      <c r="H224" s="8"/>
      <c r="I224" s="4" t="str">
        <f t="shared" si="12"/>
        <v/>
      </c>
    </row>
    <row r="225" spans="1:9" x14ac:dyDescent="0.2">
      <c r="A225" s="25"/>
      <c r="B225" s="25"/>
      <c r="C225" s="25"/>
      <c r="D225" s="26" t="str">
        <f>IF(NOT(ISBLANK(A225)),VLOOKUP(A225,Listados!$A$3:$D$1252,2,FALSE),"")</f>
        <v/>
      </c>
      <c r="E225" s="26" t="str">
        <f>IF(NOT(ISBLANK(A225)),VLOOKUP(A225,Listados!$A$3:$D$1252,4,FALSE),"")</f>
        <v/>
      </c>
      <c r="F225" s="5" t="str">
        <f t="shared" si="10"/>
        <v/>
      </c>
      <c r="G225" s="8">
        <f t="shared" si="11"/>
        <v>0</v>
      </c>
      <c r="H225" s="8"/>
      <c r="I225" s="4" t="str">
        <f t="shared" si="12"/>
        <v/>
      </c>
    </row>
    <row r="226" spans="1:9" x14ac:dyDescent="0.2">
      <c r="A226" s="25"/>
      <c r="B226" s="25"/>
      <c r="C226" s="25"/>
      <c r="D226" s="26" t="str">
        <f>IF(NOT(ISBLANK(A226)),VLOOKUP(A226,Listados!$A$3:$D$1252,2,FALSE),"")</f>
        <v/>
      </c>
      <c r="E226" s="26" t="str">
        <f>IF(NOT(ISBLANK(A226)),VLOOKUP(A226,Listados!$A$3:$D$1252,4,FALSE),"")</f>
        <v/>
      </c>
      <c r="F226" s="5" t="str">
        <f t="shared" si="10"/>
        <v/>
      </c>
      <c r="G226" s="8">
        <f t="shared" si="11"/>
        <v>0</v>
      </c>
      <c r="H226" s="8"/>
      <c r="I226" s="4" t="str">
        <f t="shared" si="12"/>
        <v/>
      </c>
    </row>
    <row r="227" spans="1:9" x14ac:dyDescent="0.2">
      <c r="A227" s="25"/>
      <c r="B227" s="25"/>
      <c r="C227" s="25"/>
      <c r="D227" s="26" t="str">
        <f>IF(NOT(ISBLANK(A227)),VLOOKUP(A227,Listados!$A$3:$D$1252,2,FALSE),"")</f>
        <v/>
      </c>
      <c r="E227" s="26" t="str">
        <f>IF(NOT(ISBLANK(A227)),VLOOKUP(A227,Listados!$A$3:$D$1252,4,FALSE),"")</f>
        <v/>
      </c>
      <c r="F227" s="5" t="str">
        <f t="shared" si="10"/>
        <v/>
      </c>
      <c r="G227" s="8">
        <f t="shared" si="11"/>
        <v>0</v>
      </c>
      <c r="H227" s="8"/>
      <c r="I227" s="4" t="str">
        <f t="shared" si="12"/>
        <v/>
      </c>
    </row>
    <row r="228" spans="1:9" x14ac:dyDescent="0.2">
      <c r="A228" s="25"/>
      <c r="B228" s="25"/>
      <c r="C228" s="25"/>
      <c r="D228" s="26" t="str">
        <f>IF(NOT(ISBLANK(A228)),VLOOKUP(A228,Listados!$A$3:$D$1252,2,FALSE),"")</f>
        <v/>
      </c>
      <c r="E228" s="26" t="str">
        <f>IF(NOT(ISBLANK(A228)),VLOOKUP(A228,Listados!$A$3:$D$1252,4,FALSE),"")</f>
        <v/>
      </c>
      <c r="F228" s="5" t="str">
        <f t="shared" si="10"/>
        <v/>
      </c>
      <c r="G228" s="8">
        <f t="shared" si="11"/>
        <v>0</v>
      </c>
      <c r="H228" s="8"/>
      <c r="I228" s="4" t="str">
        <f t="shared" si="12"/>
        <v/>
      </c>
    </row>
    <row r="229" spans="1:9" x14ac:dyDescent="0.2">
      <c r="A229" s="25"/>
      <c r="B229" s="25"/>
      <c r="C229" s="25"/>
      <c r="D229" s="26" t="str">
        <f>IF(NOT(ISBLANK(A229)),VLOOKUP(A229,Listados!$A$3:$D$1252,2,FALSE),"")</f>
        <v/>
      </c>
      <c r="E229" s="26" t="str">
        <f>IF(NOT(ISBLANK(A229)),VLOOKUP(A229,Listados!$A$3:$D$1252,4,FALSE),"")</f>
        <v/>
      </c>
      <c r="F229" s="5" t="str">
        <f t="shared" si="10"/>
        <v/>
      </c>
      <c r="G229" s="8">
        <f t="shared" si="11"/>
        <v>0</v>
      </c>
      <c r="H229" s="8"/>
      <c r="I229" s="4" t="str">
        <f t="shared" si="12"/>
        <v/>
      </c>
    </row>
    <row r="230" spans="1:9" x14ac:dyDescent="0.2">
      <c r="A230" s="25"/>
      <c r="B230" s="25"/>
      <c r="C230" s="25"/>
      <c r="D230" s="26" t="str">
        <f>IF(NOT(ISBLANK(A230)),VLOOKUP(A230,Listados!$A$3:$D$1252,2,FALSE),"")</f>
        <v/>
      </c>
      <c r="E230" s="26" t="str">
        <f>IF(NOT(ISBLANK(A230)),VLOOKUP(A230,Listados!$A$3:$D$1252,4,FALSE),"")</f>
        <v/>
      </c>
      <c r="F230" s="5" t="str">
        <f t="shared" si="10"/>
        <v/>
      </c>
      <c r="G230" s="8">
        <f t="shared" si="11"/>
        <v>0</v>
      </c>
      <c r="H230" s="8"/>
      <c r="I230" s="4" t="str">
        <f t="shared" si="12"/>
        <v/>
      </c>
    </row>
    <row r="231" spans="1:9" x14ac:dyDescent="0.2">
      <c r="A231" s="25"/>
      <c r="B231" s="25"/>
      <c r="C231" s="25"/>
      <c r="D231" s="26" t="str">
        <f>IF(NOT(ISBLANK(A231)),VLOOKUP(A231,Listados!$A$3:$D$1252,2,FALSE),"")</f>
        <v/>
      </c>
      <c r="E231" s="26" t="str">
        <f>IF(NOT(ISBLANK(A231)),VLOOKUP(A231,Listados!$A$3:$D$1252,4,FALSE),"")</f>
        <v/>
      </c>
      <c r="F231" s="5" t="str">
        <f t="shared" si="10"/>
        <v/>
      </c>
      <c r="G231" s="8">
        <f t="shared" si="11"/>
        <v>0</v>
      </c>
      <c r="H231" s="8"/>
      <c r="I231" s="4" t="str">
        <f t="shared" si="12"/>
        <v/>
      </c>
    </row>
    <row r="232" spans="1:9" x14ac:dyDescent="0.2">
      <c r="A232" s="25"/>
      <c r="B232" s="25"/>
      <c r="C232" s="25"/>
      <c r="D232" s="26" t="str">
        <f>IF(NOT(ISBLANK(A232)),VLOOKUP(A232,Listados!$A$3:$D$1252,2,FALSE),"")</f>
        <v/>
      </c>
      <c r="E232" s="26" t="str">
        <f>IF(NOT(ISBLANK(A232)),VLOOKUP(A232,Listados!$A$3:$D$1252,4,FALSE),"")</f>
        <v/>
      </c>
      <c r="F232" s="5" t="str">
        <f t="shared" si="10"/>
        <v/>
      </c>
      <c r="G232" s="8">
        <f t="shared" si="11"/>
        <v>0</v>
      </c>
      <c r="H232" s="8"/>
      <c r="I232" s="4" t="str">
        <f t="shared" si="12"/>
        <v/>
      </c>
    </row>
    <row r="233" spans="1:9" x14ac:dyDescent="0.2">
      <c r="A233" s="25"/>
      <c r="B233" s="25"/>
      <c r="C233" s="25"/>
      <c r="D233" s="26" t="str">
        <f>IF(NOT(ISBLANK(A233)),VLOOKUP(A233,Listados!$A$3:$D$1252,2,FALSE),"")</f>
        <v/>
      </c>
      <c r="E233" s="26" t="str">
        <f>IF(NOT(ISBLANK(A233)),VLOOKUP(A233,Listados!$A$3:$D$1252,4,FALSE),"")</f>
        <v/>
      </c>
      <c r="F233" s="5" t="str">
        <f t="shared" si="10"/>
        <v/>
      </c>
      <c r="G233" s="8">
        <f t="shared" si="11"/>
        <v>0</v>
      </c>
      <c r="H233" s="8"/>
      <c r="I233" s="4" t="str">
        <f t="shared" si="12"/>
        <v/>
      </c>
    </row>
    <row r="234" spans="1:9" x14ac:dyDescent="0.2">
      <c r="A234" s="25"/>
      <c r="B234" s="25"/>
      <c r="C234" s="25"/>
      <c r="D234" s="26" t="str">
        <f>IF(NOT(ISBLANK(A234)),VLOOKUP(A234,Listados!$A$3:$D$1252,2,FALSE),"")</f>
        <v/>
      </c>
      <c r="E234" s="26" t="str">
        <f>IF(NOT(ISBLANK(A234)),VLOOKUP(A234,Listados!$A$3:$D$1252,4,FALSE),"")</f>
        <v/>
      </c>
      <c r="F234" s="5" t="str">
        <f t="shared" si="10"/>
        <v/>
      </c>
      <c r="G234" s="8">
        <f t="shared" si="11"/>
        <v>0</v>
      </c>
      <c r="H234" s="8"/>
      <c r="I234" s="4" t="str">
        <f t="shared" si="12"/>
        <v/>
      </c>
    </row>
    <row r="235" spans="1:9" x14ac:dyDescent="0.2">
      <c r="A235" s="25"/>
      <c r="B235" s="25"/>
      <c r="C235" s="25"/>
      <c r="D235" s="26" t="str">
        <f>IF(NOT(ISBLANK(A235)),VLOOKUP(A235,Listados!$A$3:$D$1252,2,FALSE),"")</f>
        <v/>
      </c>
      <c r="E235" s="26" t="str">
        <f>IF(NOT(ISBLANK(A235)),VLOOKUP(A235,Listados!$A$3:$D$1252,4,FALSE),"")</f>
        <v/>
      </c>
      <c r="F235" s="5" t="str">
        <f t="shared" si="10"/>
        <v/>
      </c>
      <c r="G235" s="8">
        <f t="shared" si="11"/>
        <v>0</v>
      </c>
      <c r="H235" s="8"/>
      <c r="I235" s="4" t="str">
        <f t="shared" si="12"/>
        <v/>
      </c>
    </row>
    <row r="236" spans="1:9" x14ac:dyDescent="0.2">
      <c r="A236" s="25"/>
      <c r="B236" s="25"/>
      <c r="C236" s="25"/>
      <c r="D236" s="26" t="str">
        <f>IF(NOT(ISBLANK(A236)),VLOOKUP(A236,Listados!$A$3:$D$1252,2,FALSE),"")</f>
        <v/>
      </c>
      <c r="E236" s="26" t="str">
        <f>IF(NOT(ISBLANK(A236)),VLOOKUP(A236,Listados!$A$3:$D$1252,4,FALSE),"")</f>
        <v/>
      </c>
      <c r="F236" s="5" t="str">
        <f t="shared" si="10"/>
        <v/>
      </c>
      <c r="G236" s="8">
        <f t="shared" si="11"/>
        <v>0</v>
      </c>
      <c r="H236" s="8"/>
      <c r="I236" s="4" t="str">
        <f t="shared" si="12"/>
        <v/>
      </c>
    </row>
    <row r="237" spans="1:9" x14ac:dyDescent="0.2">
      <c r="A237" s="25"/>
      <c r="B237" s="25"/>
      <c r="C237" s="25"/>
      <c r="D237" s="26" t="str">
        <f>IF(NOT(ISBLANK(A237)),VLOOKUP(A237,Listados!$A$3:$D$1252,2,FALSE),"")</f>
        <v/>
      </c>
      <c r="E237" s="26" t="str">
        <f>IF(NOT(ISBLANK(A237)),VLOOKUP(A237,Listados!$A$3:$D$1252,4,FALSE),"")</f>
        <v/>
      </c>
      <c r="F237" s="5" t="str">
        <f t="shared" si="10"/>
        <v/>
      </c>
      <c r="G237" s="8">
        <f t="shared" si="11"/>
        <v>0</v>
      </c>
      <c r="H237" s="8"/>
      <c r="I237" s="4" t="str">
        <f t="shared" si="12"/>
        <v/>
      </c>
    </row>
    <row r="238" spans="1:9" x14ac:dyDescent="0.2">
      <c r="A238" s="25"/>
      <c r="B238" s="25"/>
      <c r="C238" s="25"/>
      <c r="D238" s="26" t="str">
        <f>IF(NOT(ISBLANK(A238)),VLOOKUP(A238,Listados!$A$3:$D$1252,2,FALSE),"")</f>
        <v/>
      </c>
      <c r="E238" s="26" t="str">
        <f>IF(NOT(ISBLANK(A238)),VLOOKUP(A238,Listados!$A$3:$D$1252,4,FALSE),"")</f>
        <v/>
      </c>
      <c r="F238" s="5" t="str">
        <f t="shared" si="10"/>
        <v/>
      </c>
      <c r="G238" s="8">
        <f t="shared" si="11"/>
        <v>0</v>
      </c>
      <c r="H238" s="8"/>
      <c r="I238" s="4" t="str">
        <f t="shared" si="12"/>
        <v/>
      </c>
    </row>
    <row r="239" spans="1:9" x14ac:dyDescent="0.2">
      <c r="A239" s="25"/>
      <c r="B239" s="25"/>
      <c r="C239" s="25"/>
      <c r="D239" s="26" t="str">
        <f>IF(NOT(ISBLANK(A239)),VLOOKUP(A239,Listados!$A$3:$D$1252,2,FALSE),"")</f>
        <v/>
      </c>
      <c r="E239" s="26" t="str">
        <f>IF(NOT(ISBLANK(A239)),VLOOKUP(A239,Listados!$A$3:$D$1252,4,FALSE),"")</f>
        <v/>
      </c>
      <c r="F239" s="5" t="str">
        <f t="shared" si="10"/>
        <v/>
      </c>
      <c r="G239" s="8">
        <f t="shared" si="11"/>
        <v>0</v>
      </c>
      <c r="H239" s="8"/>
      <c r="I239" s="4" t="str">
        <f t="shared" si="12"/>
        <v/>
      </c>
    </row>
    <row r="240" spans="1:9" x14ac:dyDescent="0.2">
      <c r="A240" s="25"/>
      <c r="B240" s="25"/>
      <c r="C240" s="25"/>
      <c r="D240" s="26" t="str">
        <f>IF(NOT(ISBLANK(A240)),VLOOKUP(A240,Listados!$A$3:$D$1252,2,FALSE),"")</f>
        <v/>
      </c>
      <c r="E240" s="26" t="str">
        <f>IF(NOT(ISBLANK(A240)),VLOOKUP(A240,Listados!$A$3:$D$1252,4,FALSE),"")</f>
        <v/>
      </c>
      <c r="F240" s="5" t="str">
        <f t="shared" si="10"/>
        <v/>
      </c>
      <c r="G240" s="8">
        <f t="shared" si="11"/>
        <v>0</v>
      </c>
      <c r="H240" s="8"/>
      <c r="I240" s="4" t="str">
        <f t="shared" si="12"/>
        <v/>
      </c>
    </row>
    <row r="241" spans="1:9" x14ac:dyDescent="0.2">
      <c r="A241" s="25"/>
      <c r="B241" s="25"/>
      <c r="C241" s="25"/>
      <c r="D241" s="26" t="str">
        <f>IF(NOT(ISBLANK(A241)),VLOOKUP(A241,Listados!$A$3:$D$1252,2,FALSE),"")</f>
        <v/>
      </c>
      <c r="E241" s="26" t="str">
        <f>IF(NOT(ISBLANK(A241)),VLOOKUP(A241,Listados!$A$3:$D$1252,4,FALSE),"")</f>
        <v/>
      </c>
      <c r="F241" s="5" t="str">
        <f t="shared" si="10"/>
        <v/>
      </c>
      <c r="G241" s="8">
        <f t="shared" si="11"/>
        <v>0</v>
      </c>
      <c r="H241" s="8"/>
      <c r="I241" s="4" t="str">
        <f t="shared" si="12"/>
        <v/>
      </c>
    </row>
    <row r="242" spans="1:9" x14ac:dyDescent="0.2">
      <c r="A242" s="25"/>
      <c r="B242" s="25"/>
      <c r="C242" s="25"/>
      <c r="D242" s="26" t="str">
        <f>IF(NOT(ISBLANK(A242)),VLOOKUP(A242,Listados!$A$3:$D$1252,2,FALSE),"")</f>
        <v/>
      </c>
      <c r="E242" s="26" t="str">
        <f>IF(NOT(ISBLANK(A242)),VLOOKUP(A242,Listados!$A$3:$D$1252,4,FALSE),"")</f>
        <v/>
      </c>
      <c r="F242" s="5" t="str">
        <f t="shared" si="10"/>
        <v/>
      </c>
      <c r="G242" s="8">
        <f t="shared" si="11"/>
        <v>0</v>
      </c>
      <c r="H242" s="8"/>
      <c r="I242" s="4" t="str">
        <f t="shared" si="12"/>
        <v/>
      </c>
    </row>
    <row r="243" spans="1:9" x14ac:dyDescent="0.2">
      <c r="A243" s="25"/>
      <c r="B243" s="25"/>
      <c r="C243" s="25"/>
      <c r="D243" s="26" t="str">
        <f>IF(NOT(ISBLANK(A243)),VLOOKUP(A243,Listados!$A$3:$D$1252,2,FALSE),"")</f>
        <v/>
      </c>
      <c r="E243" s="26" t="str">
        <f>IF(NOT(ISBLANK(A243)),VLOOKUP(A243,Listados!$A$3:$D$1252,4,FALSE),"")</f>
        <v/>
      </c>
      <c r="F243" s="5" t="str">
        <f t="shared" si="10"/>
        <v/>
      </c>
      <c r="G243" s="8">
        <f t="shared" si="11"/>
        <v>0</v>
      </c>
      <c r="H243" s="8"/>
      <c r="I243" s="4" t="str">
        <f t="shared" si="12"/>
        <v/>
      </c>
    </row>
    <row r="244" spans="1:9" x14ac:dyDescent="0.2">
      <c r="A244" s="25"/>
      <c r="B244" s="25"/>
      <c r="C244" s="25"/>
      <c r="D244" s="26" t="str">
        <f>IF(NOT(ISBLANK(A244)),VLOOKUP(A244,Listados!$A$3:$D$1252,2,FALSE),"")</f>
        <v/>
      </c>
      <c r="E244" s="26" t="str">
        <f>IF(NOT(ISBLANK(A244)),VLOOKUP(A244,Listados!$A$3:$D$1252,4,FALSE),"")</f>
        <v/>
      </c>
      <c r="F244" s="5" t="str">
        <f t="shared" si="10"/>
        <v/>
      </c>
      <c r="G244" s="8">
        <f t="shared" si="11"/>
        <v>0</v>
      </c>
      <c r="H244" s="8"/>
      <c r="I244" s="4" t="str">
        <f t="shared" si="12"/>
        <v/>
      </c>
    </row>
    <row r="245" spans="1:9" x14ac:dyDescent="0.2">
      <c r="A245" s="25"/>
      <c r="B245" s="25"/>
      <c r="C245" s="25"/>
      <c r="D245" s="26" t="str">
        <f>IF(NOT(ISBLANK(A245)),VLOOKUP(A245,Listados!$A$3:$D$1252,2,FALSE),"")</f>
        <v/>
      </c>
      <c r="E245" s="26" t="str">
        <f>IF(NOT(ISBLANK(A245)),VLOOKUP(A245,Listados!$A$3:$D$1252,4,FALSE),"")</f>
        <v/>
      </c>
      <c r="F245" s="5" t="str">
        <f t="shared" si="10"/>
        <v/>
      </c>
      <c r="G245" s="8">
        <f t="shared" si="11"/>
        <v>0</v>
      </c>
      <c r="H245" s="8"/>
      <c r="I245" s="4" t="str">
        <f t="shared" si="12"/>
        <v/>
      </c>
    </row>
    <row r="246" spans="1:9" x14ac:dyDescent="0.2">
      <c r="A246" s="25"/>
      <c r="B246" s="25"/>
      <c r="C246" s="25"/>
      <c r="D246" s="26" t="str">
        <f>IF(NOT(ISBLANK(A246)),VLOOKUP(A246,Listados!$A$3:$D$1252,2,FALSE),"")</f>
        <v/>
      </c>
      <c r="E246" s="26" t="str">
        <f>IF(NOT(ISBLANK(A246)),VLOOKUP(A246,Listados!$A$3:$D$1252,4,FALSE),"")</f>
        <v/>
      </c>
      <c r="F246" s="5" t="str">
        <f t="shared" si="10"/>
        <v/>
      </c>
      <c r="G246" s="8">
        <f t="shared" si="11"/>
        <v>0</v>
      </c>
      <c r="H246" s="8"/>
      <c r="I246" s="4" t="str">
        <f t="shared" si="12"/>
        <v/>
      </c>
    </row>
    <row r="247" spans="1:9" x14ac:dyDescent="0.2">
      <c r="A247" s="25"/>
      <c r="B247" s="25"/>
      <c r="C247" s="25"/>
      <c r="D247" s="26" t="str">
        <f>IF(NOT(ISBLANK(A247)),VLOOKUP(A247,Listados!$A$3:$D$1252,2,FALSE),"")</f>
        <v/>
      </c>
      <c r="E247" s="26" t="str">
        <f>IF(NOT(ISBLANK(A247)),VLOOKUP(A247,Listados!$A$3:$D$1252,4,FALSE),"")</f>
        <v/>
      </c>
      <c r="F247" s="5" t="str">
        <f t="shared" si="10"/>
        <v/>
      </c>
      <c r="G247" s="8">
        <f t="shared" si="11"/>
        <v>0</v>
      </c>
      <c r="H247" s="8"/>
      <c r="I247" s="4" t="str">
        <f t="shared" si="12"/>
        <v/>
      </c>
    </row>
    <row r="248" spans="1:9" x14ac:dyDescent="0.2">
      <c r="A248" s="25"/>
      <c r="B248" s="25"/>
      <c r="C248" s="25"/>
      <c r="D248" s="26" t="str">
        <f>IF(NOT(ISBLANK(A248)),VLOOKUP(A248,Listados!$A$3:$D$1252,2,FALSE),"")</f>
        <v/>
      </c>
      <c r="E248" s="26" t="str">
        <f>IF(NOT(ISBLANK(A248)),VLOOKUP(A248,Listados!$A$3:$D$1252,4,FALSE),"")</f>
        <v/>
      </c>
      <c r="F248" s="5" t="str">
        <f t="shared" si="10"/>
        <v/>
      </c>
      <c r="G248" s="8">
        <f t="shared" si="11"/>
        <v>0</v>
      </c>
      <c r="H248" s="8"/>
      <c r="I248" s="4" t="str">
        <f t="shared" si="12"/>
        <v/>
      </c>
    </row>
    <row r="249" spans="1:9" x14ac:dyDescent="0.2">
      <c r="A249" s="25"/>
      <c r="B249" s="25"/>
      <c r="C249" s="25"/>
      <c r="D249" s="26" t="str">
        <f>IF(NOT(ISBLANK(A249)),VLOOKUP(A249,Listados!$A$3:$D$1252,2,FALSE),"")</f>
        <v/>
      </c>
      <c r="E249" s="26" t="str">
        <f>IF(NOT(ISBLANK(A249)),VLOOKUP(A249,Listados!$A$3:$D$1252,4,FALSE),"")</f>
        <v/>
      </c>
      <c r="F249" s="5" t="str">
        <f t="shared" si="10"/>
        <v/>
      </c>
      <c r="G249" s="8">
        <f t="shared" si="11"/>
        <v>0</v>
      </c>
      <c r="H249" s="8"/>
      <c r="I249" s="4" t="str">
        <f t="shared" si="12"/>
        <v/>
      </c>
    </row>
    <row r="250" spans="1:9" x14ac:dyDescent="0.2">
      <c r="A250" s="25"/>
      <c r="B250" s="25"/>
      <c r="C250" s="25"/>
      <c r="D250" s="26" t="str">
        <f>IF(NOT(ISBLANK(A250)),VLOOKUP(A250,Listados!$A$3:$D$1252,2,FALSE),"")</f>
        <v/>
      </c>
      <c r="E250" s="26" t="str">
        <f>IF(NOT(ISBLANK(A250)),VLOOKUP(A250,Listados!$A$3:$D$1252,4,FALSE),"")</f>
        <v/>
      </c>
      <c r="F250" s="5" t="str">
        <f t="shared" si="10"/>
        <v/>
      </c>
      <c r="G250" s="8">
        <f t="shared" si="11"/>
        <v>0</v>
      </c>
      <c r="H250" s="8"/>
      <c r="I250" s="4" t="str">
        <f t="shared" si="12"/>
        <v/>
      </c>
    </row>
    <row r="251" spans="1:9" x14ac:dyDescent="0.2">
      <c r="A251" s="25"/>
      <c r="B251" s="25"/>
      <c r="C251" s="25"/>
      <c r="D251" s="26" t="str">
        <f>IF(NOT(ISBLANK(A251)),VLOOKUP(A251,Listados!$A$3:$D$1252,2,FALSE),"")</f>
        <v/>
      </c>
      <c r="E251" s="26" t="str">
        <f>IF(NOT(ISBLANK(A251)),VLOOKUP(A251,Listados!$A$3:$D$1252,4,FALSE),"")</f>
        <v/>
      </c>
      <c r="F251" s="5" t="str">
        <f t="shared" si="10"/>
        <v/>
      </c>
      <c r="G251" s="8">
        <f t="shared" si="11"/>
        <v>0</v>
      </c>
      <c r="H251" s="8"/>
      <c r="I251" s="4" t="str">
        <f t="shared" si="12"/>
        <v/>
      </c>
    </row>
    <row r="252" spans="1:9" x14ac:dyDescent="0.2">
      <c r="A252" s="25"/>
      <c r="B252" s="25"/>
      <c r="C252" s="25"/>
      <c r="D252" s="26" t="str">
        <f>IF(NOT(ISBLANK(A252)),VLOOKUP(A252,Listados!$A$3:$D$1252,2,FALSE),"")</f>
        <v/>
      </c>
      <c r="E252" s="26" t="str">
        <f>IF(NOT(ISBLANK(A252)),VLOOKUP(A252,Listados!$A$3:$D$1252,4,FALSE),"")</f>
        <v/>
      </c>
      <c r="F252" s="5" t="str">
        <f t="shared" si="10"/>
        <v/>
      </c>
      <c r="G252" s="8">
        <f t="shared" si="11"/>
        <v>0</v>
      </c>
      <c r="H252" s="8"/>
      <c r="I252" s="4" t="str">
        <f t="shared" si="12"/>
        <v/>
      </c>
    </row>
    <row r="253" spans="1:9" x14ac:dyDescent="0.2">
      <c r="A253" s="25"/>
      <c r="B253" s="25"/>
      <c r="C253" s="25"/>
      <c r="D253" s="26" t="str">
        <f>IF(NOT(ISBLANK(A253)),VLOOKUP(A253,Listados!$A$3:$D$1252,2,FALSE),"")</f>
        <v/>
      </c>
      <c r="E253" s="26" t="str">
        <f>IF(NOT(ISBLANK(A253)),VLOOKUP(A253,Listados!$A$3:$D$1252,4,FALSE),"")</f>
        <v/>
      </c>
      <c r="F253" s="5" t="str">
        <f t="shared" si="10"/>
        <v/>
      </c>
      <c r="G253" s="8">
        <f t="shared" si="11"/>
        <v>0</v>
      </c>
      <c r="H253" s="8"/>
      <c r="I253" s="4" t="str">
        <f t="shared" si="12"/>
        <v/>
      </c>
    </row>
    <row r="254" spans="1:9" x14ac:dyDescent="0.2">
      <c r="A254" s="25"/>
      <c r="B254" s="25"/>
      <c r="C254" s="25"/>
      <c r="D254" s="26" t="str">
        <f>IF(NOT(ISBLANK(A254)),VLOOKUP(A254,Listados!$A$3:$D$1252,2,FALSE),"")</f>
        <v/>
      </c>
      <c r="E254" s="26" t="str">
        <f>IF(NOT(ISBLANK(A254)),VLOOKUP(A254,Listados!$A$3:$D$1252,4,FALSE),"")</f>
        <v/>
      </c>
      <c r="F254" s="5" t="str">
        <f t="shared" si="10"/>
        <v/>
      </c>
      <c r="G254" s="8">
        <f t="shared" si="11"/>
        <v>0</v>
      </c>
      <c r="H254" s="8"/>
      <c r="I254" s="4" t="str">
        <f t="shared" si="12"/>
        <v/>
      </c>
    </row>
    <row r="255" spans="1:9" x14ac:dyDescent="0.2">
      <c r="A255" s="25"/>
      <c r="B255" s="25"/>
      <c r="C255" s="25"/>
      <c r="D255" s="26" t="str">
        <f>IF(NOT(ISBLANK(A255)),VLOOKUP(A255,Listados!$A$3:$D$1252,2,FALSE),"")</f>
        <v/>
      </c>
      <c r="E255" s="26" t="str">
        <f>IF(NOT(ISBLANK(A255)),VLOOKUP(A255,Listados!$A$3:$D$1252,4,FALSE),"")</f>
        <v/>
      </c>
      <c r="F255" s="5" t="str">
        <f t="shared" si="10"/>
        <v/>
      </c>
      <c r="G255" s="8">
        <f t="shared" si="11"/>
        <v>0</v>
      </c>
      <c r="H255" s="8"/>
      <c r="I255" s="4" t="str">
        <f t="shared" si="12"/>
        <v/>
      </c>
    </row>
    <row r="256" spans="1:9" x14ac:dyDescent="0.2">
      <c r="A256" s="25"/>
      <c r="B256" s="25"/>
      <c r="C256" s="25"/>
      <c r="D256" s="26" t="str">
        <f>IF(NOT(ISBLANK(A256)),VLOOKUP(A256,Listados!$A$3:$D$1252,2,FALSE),"")</f>
        <v/>
      </c>
      <c r="E256" s="26" t="str">
        <f>IF(NOT(ISBLANK(A256)),VLOOKUP(A256,Listados!$A$3:$D$1252,4,FALSE),"")</f>
        <v/>
      </c>
      <c r="F256" s="5" t="str">
        <f t="shared" si="10"/>
        <v/>
      </c>
      <c r="G256" s="8">
        <f t="shared" si="11"/>
        <v>0</v>
      </c>
      <c r="H256" s="8"/>
      <c r="I256" s="4" t="str">
        <f t="shared" si="12"/>
        <v/>
      </c>
    </row>
    <row r="257" spans="1:9" x14ac:dyDescent="0.2">
      <c r="A257" s="25"/>
      <c r="B257" s="25"/>
      <c r="C257" s="25"/>
      <c r="D257" s="26" t="str">
        <f>IF(NOT(ISBLANK(A257)),VLOOKUP(A257,Listados!$A$3:$D$1252,2,FALSE),"")</f>
        <v/>
      </c>
      <c r="E257" s="26" t="str">
        <f>IF(NOT(ISBLANK(A257)),VLOOKUP(A257,Listados!$A$3:$D$1252,4,FALSE),"")</f>
        <v/>
      </c>
      <c r="F257" s="5" t="str">
        <f t="shared" si="10"/>
        <v/>
      </c>
      <c r="G257" s="8">
        <f t="shared" si="11"/>
        <v>0</v>
      </c>
      <c r="H257" s="8"/>
      <c r="I257" s="4" t="str">
        <f t="shared" si="12"/>
        <v/>
      </c>
    </row>
    <row r="258" spans="1:9" x14ac:dyDescent="0.2">
      <c r="A258" s="25"/>
      <c r="B258" s="25"/>
      <c r="C258" s="25"/>
      <c r="D258" s="26" t="str">
        <f>IF(NOT(ISBLANK(A258)),VLOOKUP(A258,Listados!$A$3:$D$1252,2,FALSE),"")</f>
        <v/>
      </c>
      <c r="E258" s="26" t="str">
        <f>IF(NOT(ISBLANK(A258)),VLOOKUP(A258,Listados!$A$3:$D$1252,4,FALSE),"")</f>
        <v/>
      </c>
      <c r="F258" s="5" t="str">
        <f t="shared" si="10"/>
        <v/>
      </c>
      <c r="G258" s="8">
        <f t="shared" si="11"/>
        <v>0</v>
      </c>
      <c r="H258" s="8"/>
      <c r="I258" s="4" t="str">
        <f t="shared" si="12"/>
        <v/>
      </c>
    </row>
    <row r="259" spans="1:9" x14ac:dyDescent="0.2">
      <c r="A259" s="25"/>
      <c r="B259" s="25"/>
      <c r="C259" s="25"/>
      <c r="D259" s="26" t="str">
        <f>IF(NOT(ISBLANK(A259)),VLOOKUP(A259,Listados!$A$3:$D$1252,2,FALSE),"")</f>
        <v/>
      </c>
      <c r="E259" s="26" t="str">
        <f>IF(NOT(ISBLANK(A259)),VLOOKUP(A259,Listados!$A$3:$D$1252,4,FALSE),"")</f>
        <v/>
      </c>
      <c r="F259" s="5" t="str">
        <f t="shared" si="10"/>
        <v/>
      </c>
      <c r="G259" s="8">
        <f t="shared" si="11"/>
        <v>0</v>
      </c>
      <c r="H259" s="8"/>
      <c r="I259" s="4" t="str">
        <f t="shared" si="12"/>
        <v/>
      </c>
    </row>
    <row r="260" spans="1:9" x14ac:dyDescent="0.2">
      <c r="A260" s="25"/>
      <c r="B260" s="25"/>
      <c r="C260" s="25"/>
      <c r="D260" s="26" t="str">
        <f>IF(NOT(ISBLANK(A260)),VLOOKUP(A260,Listados!$A$3:$D$1252,2,FALSE),"")</f>
        <v/>
      </c>
      <c r="E260" s="26" t="str">
        <f>IF(NOT(ISBLANK(A260)),VLOOKUP(A260,Listados!$A$3:$D$1252,4,FALSE),"")</f>
        <v/>
      </c>
      <c r="F260" s="5" t="str">
        <f t="shared" si="10"/>
        <v/>
      </c>
      <c r="G260" s="8">
        <f t="shared" si="11"/>
        <v>0</v>
      </c>
      <c r="H260" s="8"/>
      <c r="I260" s="4" t="str">
        <f t="shared" si="12"/>
        <v/>
      </c>
    </row>
    <row r="261" spans="1:9" x14ac:dyDescent="0.2">
      <c r="A261" s="25"/>
      <c r="B261" s="25"/>
      <c r="C261" s="25"/>
      <c r="D261" s="26" t="str">
        <f>IF(NOT(ISBLANK(A261)),VLOOKUP(A261,Listados!$A$3:$D$1252,2,FALSE),"")</f>
        <v/>
      </c>
      <c r="E261" s="26" t="str">
        <f>IF(NOT(ISBLANK(A261)),VLOOKUP(A261,Listados!$A$3:$D$1252,4,FALSE),"")</f>
        <v/>
      </c>
      <c r="F261" s="5" t="str">
        <f t="shared" si="10"/>
        <v/>
      </c>
      <c r="G261" s="8">
        <f t="shared" si="11"/>
        <v>0</v>
      </c>
      <c r="H261" s="8"/>
      <c r="I261" s="4" t="str">
        <f t="shared" si="12"/>
        <v/>
      </c>
    </row>
    <row r="262" spans="1:9" x14ac:dyDescent="0.2">
      <c r="A262" s="25"/>
      <c r="B262" s="25"/>
      <c r="C262" s="25"/>
      <c r="D262" s="26" t="str">
        <f>IF(NOT(ISBLANK(A262)),VLOOKUP(A262,Listados!$A$3:$D$1252,2,FALSE),"")</f>
        <v/>
      </c>
      <c r="E262" s="26" t="str">
        <f>IF(NOT(ISBLANK(A262)),VLOOKUP(A262,Listados!$A$3:$D$1252,4,FALSE),"")</f>
        <v/>
      </c>
      <c r="F262" s="5" t="str">
        <f t="shared" si="10"/>
        <v/>
      </c>
      <c r="G262" s="8">
        <f t="shared" si="11"/>
        <v>0</v>
      </c>
      <c r="H262" s="8"/>
      <c r="I262" s="4" t="str">
        <f t="shared" si="12"/>
        <v/>
      </c>
    </row>
    <row r="263" spans="1:9" x14ac:dyDescent="0.2">
      <c r="A263" s="25"/>
      <c r="B263" s="25"/>
      <c r="C263" s="25"/>
      <c r="D263" s="26" t="str">
        <f>IF(NOT(ISBLANK(A263)),VLOOKUP(A263,Listados!$A$3:$D$1252,2,FALSE),"")</f>
        <v/>
      </c>
      <c r="E263" s="26" t="str">
        <f>IF(NOT(ISBLANK(A263)),VLOOKUP(A263,Listados!$A$3:$D$1252,4,FALSE),"")</f>
        <v/>
      </c>
      <c r="F263" s="5" t="str">
        <f t="shared" si="10"/>
        <v/>
      </c>
      <c r="G263" s="8">
        <f t="shared" si="11"/>
        <v>0</v>
      </c>
      <c r="H263" s="8"/>
      <c r="I263" s="4" t="str">
        <f t="shared" si="12"/>
        <v/>
      </c>
    </row>
    <row r="264" spans="1:9" x14ac:dyDescent="0.2">
      <c r="A264" s="25"/>
      <c r="B264" s="25"/>
      <c r="C264" s="25"/>
      <c r="D264" s="26" t="str">
        <f>IF(NOT(ISBLANK(A264)),VLOOKUP(A264,Listados!$A$3:$D$1252,2,FALSE),"")</f>
        <v/>
      </c>
      <c r="E264" s="26" t="str">
        <f>IF(NOT(ISBLANK(A264)),VLOOKUP(A264,Listados!$A$3:$D$1252,4,FALSE),"")</f>
        <v/>
      </c>
      <c r="F264" s="5" t="str">
        <f t="shared" si="10"/>
        <v/>
      </c>
      <c r="G264" s="8">
        <f t="shared" si="11"/>
        <v>0</v>
      </c>
      <c r="H264" s="8"/>
      <c r="I264" s="4" t="str">
        <f t="shared" si="12"/>
        <v/>
      </c>
    </row>
    <row r="273" customFormat="1" hidden="1" x14ac:dyDescent="0.2"/>
    <row r="274" customFormat="1" hidden="1" x14ac:dyDescent="0.2"/>
    <row r="275" customFormat="1" hidden="1" x14ac:dyDescent="0.2"/>
    <row r="276" customFormat="1" hidden="1" x14ac:dyDescent="0.2"/>
  </sheetData>
  <sheetProtection algorithmName="SHA-512" hashValue="BUoBwt/l+A3OBSkcKHfRD/PWmbB0WNfZOp0dG1SIB4xILTMI/vvyXmUK1IS40tPEEUnb7xe5ZSy2SKOfm1IPDA==" saltValue="YlitnCfPBd8BIjreElfCIQ==" spinCount="100000" sheet="1" objects="1" scenarios="1"/>
  <mergeCells count="5">
    <mergeCell ref="A1:G1"/>
    <mergeCell ref="A2:G3"/>
    <mergeCell ref="A5:G5"/>
    <mergeCell ref="C10:E10"/>
    <mergeCell ref="C11:E11"/>
  </mergeCells>
  <conditionalFormatting sqref="G15:H264">
    <cfRule type="iconSet" priority="2">
      <iconSet iconSet="3Symbols" reverse="1">
        <cfvo type="percent" val="0"/>
        <cfvo type="num" val="1"/>
        <cfvo type="num" val="1"/>
      </iconSet>
    </cfRule>
  </conditionalFormatting>
  <conditionalFormatting sqref="G8:H11">
    <cfRule type="iconSet" priority="1">
      <iconSet iconSet="3Symbols" reverse="1">
        <cfvo type="percent" val="0"/>
        <cfvo type="num" val="1"/>
        <cfvo type="num" val="1"/>
      </iconSet>
    </cfRule>
  </conditionalFormatting>
  <dataValidations disablePrompts="1" count="1">
    <dataValidation type="whole" allowBlank="1" showInputMessage="1" showErrorMessage="1" sqref="B15:C264" xr:uid="{DD8159EF-D112-4D47-B11F-404177057E17}">
      <formula1>0</formula1>
      <formula2>10000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errorTitle="No válido" error="Seleccione una metodología dentro del listado" promptTitle="Metodología" prompt="Seleccione la metodología del presupuesto" xr:uid="{DA178241-CF50-4CD9-9F49-457C317FEC9E}">
          <x14:formula1>
            <xm:f>Listados!$G$12:$G$17</xm:f>
          </x14:formula1>
          <xm:sqref>C10:E10</xm:sqref>
        </x14:dataValidation>
        <x14:dataValidation type="list" allowBlank="1" showInputMessage="1" showErrorMessage="1" errorTitle="No válido" error="Seleccione una fase dentro del listado" promptTitle="Fase" prompt="Seleccione la fase del presupuesto" xr:uid="{6561E02A-27EB-4DB7-9007-C42E22CB425A}">
          <x14:formula1>
            <xm:f>Listados!$G$21:$G$37</xm:f>
          </x14:formula1>
          <xm:sqref>C11:E11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C13A-D3DA-4934-96D2-6166DE0D9797}">
  <dimension ref="A1:H1252"/>
  <sheetViews>
    <sheetView workbookViewId="0">
      <selection activeCell="G8" sqref="G8"/>
    </sheetView>
  </sheetViews>
  <sheetFormatPr baseColWidth="10" defaultRowHeight="12.75" x14ac:dyDescent="0.2"/>
  <sheetData>
    <row r="1" spans="1:8" x14ac:dyDescent="0.2">
      <c r="A1" s="19" t="s">
        <v>1164</v>
      </c>
      <c r="B1" s="19"/>
      <c r="C1" s="19"/>
      <c r="D1" s="19"/>
      <c r="F1" t="s">
        <v>1178</v>
      </c>
      <c r="G1" t="s">
        <v>1179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F2">
        <v>100</v>
      </c>
      <c r="G2" t="s">
        <v>1165</v>
      </c>
      <c r="H2">
        <v>100</v>
      </c>
    </row>
    <row r="3" spans="1:8" x14ac:dyDescent="0.2">
      <c r="A3">
        <v>5001</v>
      </c>
      <c r="B3" t="s">
        <v>4</v>
      </c>
      <c r="C3">
        <v>5</v>
      </c>
      <c r="D3" t="s">
        <v>5</v>
      </c>
      <c r="F3">
        <v>105</v>
      </c>
      <c r="G3" t="s">
        <v>1177</v>
      </c>
      <c r="H3">
        <v>105</v>
      </c>
    </row>
    <row r="4" spans="1:8" x14ac:dyDescent="0.2">
      <c r="A4">
        <v>5002</v>
      </c>
      <c r="B4" t="s">
        <v>6</v>
      </c>
      <c r="C4">
        <v>5</v>
      </c>
      <c r="D4" t="s">
        <v>5</v>
      </c>
      <c r="F4">
        <v>110</v>
      </c>
      <c r="G4" t="s">
        <v>1166</v>
      </c>
      <c r="H4">
        <v>110</v>
      </c>
    </row>
    <row r="5" spans="1:8" x14ac:dyDescent="0.2">
      <c r="A5">
        <v>5030</v>
      </c>
      <c r="B5" t="s">
        <v>7</v>
      </c>
      <c r="C5">
        <v>5</v>
      </c>
      <c r="D5" t="s">
        <v>5</v>
      </c>
      <c r="F5">
        <v>120</v>
      </c>
      <c r="G5" t="s">
        <v>1167</v>
      </c>
      <c r="H5">
        <v>120</v>
      </c>
    </row>
    <row r="6" spans="1:8" x14ac:dyDescent="0.2">
      <c r="A6">
        <v>5034</v>
      </c>
      <c r="B6" t="s">
        <v>8</v>
      </c>
      <c r="C6">
        <v>5</v>
      </c>
      <c r="D6" t="s">
        <v>5</v>
      </c>
      <c r="F6">
        <v>125</v>
      </c>
      <c r="G6" t="s">
        <v>1176</v>
      </c>
      <c r="H6">
        <v>125</v>
      </c>
    </row>
    <row r="7" spans="1:8" x14ac:dyDescent="0.2">
      <c r="A7">
        <v>5045</v>
      </c>
      <c r="B7" t="s">
        <v>9</v>
      </c>
      <c r="C7">
        <v>5</v>
      </c>
      <c r="D7" t="s">
        <v>5</v>
      </c>
      <c r="F7">
        <v>150</v>
      </c>
      <c r="G7" t="s">
        <v>1170</v>
      </c>
      <c r="H7">
        <v>150</v>
      </c>
    </row>
    <row r="8" spans="1:8" x14ac:dyDescent="0.2">
      <c r="A8">
        <v>5079</v>
      </c>
      <c r="B8" t="s">
        <v>10</v>
      </c>
      <c r="C8">
        <v>5</v>
      </c>
      <c r="D8" t="s">
        <v>5</v>
      </c>
      <c r="F8">
        <v>170</v>
      </c>
      <c r="G8" t="s">
        <v>1172</v>
      </c>
      <c r="H8">
        <v>170</v>
      </c>
    </row>
    <row r="9" spans="1:8" x14ac:dyDescent="0.2">
      <c r="A9">
        <v>5088</v>
      </c>
      <c r="B9" t="s">
        <v>11</v>
      </c>
      <c r="C9">
        <v>5</v>
      </c>
      <c r="D9" t="s">
        <v>5</v>
      </c>
    </row>
    <row r="10" spans="1:8" x14ac:dyDescent="0.2">
      <c r="A10">
        <v>5091</v>
      </c>
      <c r="B10" t="s">
        <v>12</v>
      </c>
      <c r="C10">
        <v>5</v>
      </c>
      <c r="D10" t="s">
        <v>5</v>
      </c>
    </row>
    <row r="11" spans="1:8" x14ac:dyDescent="0.2">
      <c r="A11">
        <v>5129</v>
      </c>
      <c r="B11" t="s">
        <v>13</v>
      </c>
      <c r="C11">
        <v>5</v>
      </c>
      <c r="D11" t="s">
        <v>5</v>
      </c>
      <c r="F11" t="s">
        <v>1178</v>
      </c>
      <c r="G11" t="s">
        <v>1180</v>
      </c>
    </row>
    <row r="12" spans="1:8" x14ac:dyDescent="0.2">
      <c r="A12">
        <v>5145</v>
      </c>
      <c r="B12" t="s">
        <v>14</v>
      </c>
      <c r="C12">
        <v>5</v>
      </c>
      <c r="D12" t="s">
        <v>5</v>
      </c>
      <c r="F12">
        <v>130</v>
      </c>
      <c r="G12" t="s">
        <v>1168</v>
      </c>
      <c r="H12">
        <v>130</v>
      </c>
    </row>
    <row r="13" spans="1:8" x14ac:dyDescent="0.2">
      <c r="A13">
        <v>5150</v>
      </c>
      <c r="B13" t="s">
        <v>15</v>
      </c>
      <c r="C13">
        <v>5</v>
      </c>
      <c r="D13" t="s">
        <v>5</v>
      </c>
      <c r="F13">
        <v>140</v>
      </c>
      <c r="G13" t="s">
        <v>1169</v>
      </c>
      <c r="H13">
        <v>140</v>
      </c>
    </row>
    <row r="14" spans="1:8" x14ac:dyDescent="0.2">
      <c r="A14">
        <v>5154</v>
      </c>
      <c r="B14" t="s">
        <v>16</v>
      </c>
      <c r="C14">
        <v>5</v>
      </c>
      <c r="D14" t="s">
        <v>5</v>
      </c>
      <c r="F14">
        <v>160</v>
      </c>
      <c r="G14" t="s">
        <v>1171</v>
      </c>
      <c r="H14">
        <v>160</v>
      </c>
    </row>
    <row r="15" spans="1:8" x14ac:dyDescent="0.2">
      <c r="A15">
        <v>5190</v>
      </c>
      <c r="B15" t="s">
        <v>17</v>
      </c>
      <c r="C15">
        <v>5</v>
      </c>
      <c r="D15" t="s">
        <v>5</v>
      </c>
      <c r="F15">
        <v>300</v>
      </c>
      <c r="G15" t="s">
        <v>1173</v>
      </c>
      <c r="H15">
        <v>300</v>
      </c>
    </row>
    <row r="16" spans="1:8" x14ac:dyDescent="0.2">
      <c r="A16">
        <v>5212</v>
      </c>
      <c r="B16" t="s">
        <v>18</v>
      </c>
      <c r="C16">
        <v>5</v>
      </c>
      <c r="D16" t="s">
        <v>5</v>
      </c>
      <c r="F16">
        <v>310</v>
      </c>
      <c r="G16" t="s">
        <v>1174</v>
      </c>
      <c r="H16">
        <v>310</v>
      </c>
    </row>
    <row r="17" spans="1:8" x14ac:dyDescent="0.2">
      <c r="A17">
        <v>5237</v>
      </c>
      <c r="B17" t="s">
        <v>19</v>
      </c>
      <c r="C17">
        <v>5</v>
      </c>
      <c r="D17" t="s">
        <v>5</v>
      </c>
      <c r="F17">
        <v>320</v>
      </c>
      <c r="G17" t="s">
        <v>1175</v>
      </c>
      <c r="H17">
        <v>320</v>
      </c>
    </row>
    <row r="18" spans="1:8" x14ac:dyDescent="0.2">
      <c r="A18">
        <v>5282</v>
      </c>
      <c r="B18" t="s">
        <v>20</v>
      </c>
      <c r="C18">
        <v>5</v>
      </c>
      <c r="D18" t="s">
        <v>5</v>
      </c>
    </row>
    <row r="19" spans="1:8" x14ac:dyDescent="0.2">
      <c r="A19">
        <v>5308</v>
      </c>
      <c r="B19" t="s">
        <v>21</v>
      </c>
      <c r="C19">
        <v>5</v>
      </c>
      <c r="D19" t="s">
        <v>5</v>
      </c>
    </row>
    <row r="20" spans="1:8" x14ac:dyDescent="0.2">
      <c r="A20">
        <v>5310</v>
      </c>
      <c r="B20" t="s">
        <v>22</v>
      </c>
      <c r="C20">
        <v>5</v>
      </c>
      <c r="D20" t="s">
        <v>5</v>
      </c>
      <c r="F20" t="s">
        <v>1189</v>
      </c>
      <c r="G20" t="s">
        <v>1190</v>
      </c>
    </row>
    <row r="21" spans="1:8" x14ac:dyDescent="0.2">
      <c r="A21">
        <v>5315</v>
      </c>
      <c r="B21" t="s">
        <v>23</v>
      </c>
      <c r="C21">
        <v>5</v>
      </c>
      <c r="D21" t="s">
        <v>5</v>
      </c>
      <c r="F21">
        <v>1</v>
      </c>
      <c r="G21" t="s">
        <v>1191</v>
      </c>
      <c r="H21">
        <v>1</v>
      </c>
    </row>
    <row r="22" spans="1:8" x14ac:dyDescent="0.2">
      <c r="A22">
        <v>5360</v>
      </c>
      <c r="B22" t="s">
        <v>24</v>
      </c>
      <c r="C22">
        <v>5</v>
      </c>
      <c r="D22" t="s">
        <v>5</v>
      </c>
      <c r="F22">
        <v>2</v>
      </c>
      <c r="G22" t="s">
        <v>1192</v>
      </c>
      <c r="H22">
        <v>2</v>
      </c>
    </row>
    <row r="23" spans="1:8" x14ac:dyDescent="0.2">
      <c r="A23">
        <v>5579</v>
      </c>
      <c r="B23" t="s">
        <v>25</v>
      </c>
      <c r="C23">
        <v>5</v>
      </c>
      <c r="D23" t="s">
        <v>5</v>
      </c>
      <c r="F23">
        <v>3</v>
      </c>
      <c r="G23" t="s">
        <v>1193</v>
      </c>
      <c r="H23">
        <v>3</v>
      </c>
    </row>
    <row r="24" spans="1:8" x14ac:dyDescent="0.2">
      <c r="A24">
        <v>5591</v>
      </c>
      <c r="B24" t="s">
        <v>26</v>
      </c>
      <c r="C24">
        <v>5</v>
      </c>
      <c r="D24" t="s">
        <v>5</v>
      </c>
      <c r="F24">
        <v>4</v>
      </c>
      <c r="G24" t="s">
        <v>1194</v>
      </c>
      <c r="H24">
        <v>4</v>
      </c>
    </row>
    <row r="25" spans="1:8" x14ac:dyDescent="0.2">
      <c r="A25">
        <v>5615</v>
      </c>
      <c r="B25" t="s">
        <v>27</v>
      </c>
      <c r="C25">
        <v>5</v>
      </c>
      <c r="D25" t="s">
        <v>5</v>
      </c>
      <c r="F25">
        <v>5</v>
      </c>
      <c r="G25" t="s">
        <v>1195</v>
      </c>
      <c r="H25">
        <v>5</v>
      </c>
    </row>
    <row r="26" spans="1:8" x14ac:dyDescent="0.2">
      <c r="A26">
        <v>5756</v>
      </c>
      <c r="B26" t="s">
        <v>28</v>
      </c>
      <c r="C26">
        <v>5</v>
      </c>
      <c r="D26" t="s">
        <v>5</v>
      </c>
      <c r="F26">
        <v>6</v>
      </c>
      <c r="G26" t="s">
        <v>1196</v>
      </c>
      <c r="H26">
        <v>6</v>
      </c>
    </row>
    <row r="27" spans="1:8" x14ac:dyDescent="0.2">
      <c r="A27">
        <v>5837</v>
      </c>
      <c r="B27" t="s">
        <v>29</v>
      </c>
      <c r="C27">
        <v>5</v>
      </c>
      <c r="D27" t="s">
        <v>5</v>
      </c>
      <c r="F27">
        <v>7</v>
      </c>
      <c r="G27" t="s">
        <v>1197</v>
      </c>
      <c r="H27">
        <v>7</v>
      </c>
    </row>
    <row r="28" spans="1:8" x14ac:dyDescent="0.2">
      <c r="A28">
        <v>5887</v>
      </c>
      <c r="B28" t="s">
        <v>30</v>
      </c>
      <c r="C28">
        <v>5</v>
      </c>
      <c r="D28" t="s">
        <v>5</v>
      </c>
      <c r="F28">
        <v>8</v>
      </c>
      <c r="G28" t="s">
        <v>1198</v>
      </c>
      <c r="H28">
        <v>8</v>
      </c>
    </row>
    <row r="29" spans="1:8" x14ac:dyDescent="0.2">
      <c r="A29">
        <v>5995</v>
      </c>
      <c r="B29" t="s">
        <v>31</v>
      </c>
      <c r="C29">
        <v>5</v>
      </c>
      <c r="D29" t="s">
        <v>5</v>
      </c>
      <c r="F29">
        <v>9</v>
      </c>
      <c r="G29" t="s">
        <v>1199</v>
      </c>
      <c r="H29">
        <v>9</v>
      </c>
    </row>
    <row r="30" spans="1:8" x14ac:dyDescent="0.2">
      <c r="A30">
        <v>5996</v>
      </c>
      <c r="B30" t="s">
        <v>32</v>
      </c>
      <c r="C30">
        <v>5</v>
      </c>
      <c r="D30" t="s">
        <v>5</v>
      </c>
      <c r="F30">
        <v>10</v>
      </c>
      <c r="G30" t="s">
        <v>1200</v>
      </c>
      <c r="H30">
        <v>10</v>
      </c>
    </row>
    <row r="31" spans="1:8" x14ac:dyDescent="0.2">
      <c r="A31">
        <v>8001</v>
      </c>
      <c r="B31" t="s">
        <v>33</v>
      </c>
      <c r="C31">
        <v>8</v>
      </c>
      <c r="D31" t="s">
        <v>34</v>
      </c>
      <c r="F31">
        <v>11</v>
      </c>
      <c r="G31" t="s">
        <v>1201</v>
      </c>
      <c r="H31">
        <v>11</v>
      </c>
    </row>
    <row r="32" spans="1:8" x14ac:dyDescent="0.2">
      <c r="A32">
        <v>8296</v>
      </c>
      <c r="B32" t="s">
        <v>35</v>
      </c>
      <c r="C32">
        <v>8</v>
      </c>
      <c r="D32" t="s">
        <v>34</v>
      </c>
      <c r="F32">
        <v>12</v>
      </c>
      <c r="G32" t="s">
        <v>1202</v>
      </c>
      <c r="H32">
        <v>12</v>
      </c>
    </row>
    <row r="33" spans="1:8" x14ac:dyDescent="0.2">
      <c r="A33">
        <v>8421</v>
      </c>
      <c r="B33" t="s">
        <v>36</v>
      </c>
      <c r="C33">
        <v>8</v>
      </c>
      <c r="D33" t="s">
        <v>34</v>
      </c>
      <c r="F33">
        <v>13</v>
      </c>
      <c r="G33" t="s">
        <v>1203</v>
      </c>
      <c r="H33">
        <v>13</v>
      </c>
    </row>
    <row r="34" spans="1:8" x14ac:dyDescent="0.2">
      <c r="A34">
        <v>8436</v>
      </c>
      <c r="B34" t="s">
        <v>37</v>
      </c>
      <c r="C34">
        <v>8</v>
      </c>
      <c r="D34" t="s">
        <v>34</v>
      </c>
      <c r="F34">
        <v>14</v>
      </c>
      <c r="G34" t="s">
        <v>1204</v>
      </c>
      <c r="H34">
        <v>14</v>
      </c>
    </row>
    <row r="35" spans="1:8" x14ac:dyDescent="0.2">
      <c r="A35">
        <v>8560</v>
      </c>
      <c r="B35" t="s">
        <v>38</v>
      </c>
      <c r="C35">
        <v>8</v>
      </c>
      <c r="D35" t="s">
        <v>34</v>
      </c>
      <c r="F35">
        <v>15</v>
      </c>
      <c r="G35" t="s">
        <v>1205</v>
      </c>
      <c r="H35">
        <v>15</v>
      </c>
    </row>
    <row r="36" spans="1:8" x14ac:dyDescent="0.2">
      <c r="A36">
        <v>8573</v>
      </c>
      <c r="B36" t="s">
        <v>39</v>
      </c>
      <c r="C36">
        <v>8</v>
      </c>
      <c r="D36" t="s">
        <v>34</v>
      </c>
      <c r="F36">
        <v>16</v>
      </c>
      <c r="G36" t="s">
        <v>1206</v>
      </c>
      <c r="H36">
        <v>16</v>
      </c>
    </row>
    <row r="37" spans="1:8" x14ac:dyDescent="0.2">
      <c r="A37">
        <v>8634</v>
      </c>
      <c r="B37" t="s">
        <v>40</v>
      </c>
      <c r="C37">
        <v>8</v>
      </c>
      <c r="D37" t="s">
        <v>34</v>
      </c>
      <c r="F37">
        <v>17</v>
      </c>
      <c r="G37" t="s">
        <v>1207</v>
      </c>
      <c r="H37">
        <v>17</v>
      </c>
    </row>
    <row r="38" spans="1:8" x14ac:dyDescent="0.2">
      <c r="A38">
        <v>8638</v>
      </c>
      <c r="B38" t="s">
        <v>41</v>
      </c>
      <c r="C38">
        <v>8</v>
      </c>
      <c r="D38" t="s">
        <v>34</v>
      </c>
    </row>
    <row r="39" spans="1:8" x14ac:dyDescent="0.2">
      <c r="A39">
        <v>8675</v>
      </c>
      <c r="B39" t="s">
        <v>42</v>
      </c>
      <c r="C39">
        <v>8</v>
      </c>
      <c r="D39" t="s">
        <v>34</v>
      </c>
    </row>
    <row r="40" spans="1:8" x14ac:dyDescent="0.2">
      <c r="A40">
        <v>8685</v>
      </c>
      <c r="B40" t="s">
        <v>43</v>
      </c>
      <c r="C40">
        <v>8</v>
      </c>
      <c r="D40" t="s">
        <v>34</v>
      </c>
    </row>
    <row r="41" spans="1:8" x14ac:dyDescent="0.2">
      <c r="A41">
        <v>8995</v>
      </c>
      <c r="B41" t="s">
        <v>44</v>
      </c>
      <c r="C41">
        <v>8</v>
      </c>
      <c r="D41" t="s">
        <v>34</v>
      </c>
    </row>
    <row r="42" spans="1:8" x14ac:dyDescent="0.2">
      <c r="A42">
        <v>8996</v>
      </c>
      <c r="B42" t="s">
        <v>45</v>
      </c>
      <c r="C42">
        <v>8</v>
      </c>
      <c r="D42" t="s">
        <v>34</v>
      </c>
    </row>
    <row r="43" spans="1:8" x14ac:dyDescent="0.2">
      <c r="A43">
        <v>8997</v>
      </c>
      <c r="B43" t="s">
        <v>46</v>
      </c>
      <c r="C43">
        <v>8</v>
      </c>
      <c r="D43" t="s">
        <v>34</v>
      </c>
    </row>
    <row r="44" spans="1:8" x14ac:dyDescent="0.2">
      <c r="A44">
        <v>11001</v>
      </c>
      <c r="B44" t="s">
        <v>47</v>
      </c>
      <c r="C44">
        <v>11</v>
      </c>
      <c r="D44" t="s">
        <v>48</v>
      </c>
    </row>
    <row r="45" spans="1:8" x14ac:dyDescent="0.2">
      <c r="A45">
        <v>13001</v>
      </c>
      <c r="B45" t="s">
        <v>49</v>
      </c>
      <c r="C45">
        <v>13</v>
      </c>
      <c r="D45" t="s">
        <v>50</v>
      </c>
    </row>
    <row r="46" spans="1:8" x14ac:dyDescent="0.2">
      <c r="A46">
        <v>13052</v>
      </c>
      <c r="B46" t="s">
        <v>51</v>
      </c>
      <c r="C46">
        <v>13</v>
      </c>
      <c r="D46" t="s">
        <v>50</v>
      </c>
    </row>
    <row r="47" spans="1:8" x14ac:dyDescent="0.2">
      <c r="A47">
        <v>13140</v>
      </c>
      <c r="B47" t="s">
        <v>52</v>
      </c>
      <c r="C47">
        <v>13</v>
      </c>
      <c r="D47" t="s">
        <v>50</v>
      </c>
    </row>
    <row r="48" spans="1:8" x14ac:dyDescent="0.2">
      <c r="A48">
        <v>13244</v>
      </c>
      <c r="B48" t="s">
        <v>53</v>
      </c>
      <c r="C48">
        <v>13</v>
      </c>
      <c r="D48" t="s">
        <v>50</v>
      </c>
    </row>
    <row r="49" spans="1:4" x14ac:dyDescent="0.2">
      <c r="A49">
        <v>13430</v>
      </c>
      <c r="B49" t="s">
        <v>54</v>
      </c>
      <c r="C49">
        <v>13</v>
      </c>
      <c r="D49" t="s">
        <v>50</v>
      </c>
    </row>
    <row r="50" spans="1:4" x14ac:dyDescent="0.2">
      <c r="A50">
        <v>13442</v>
      </c>
      <c r="B50" t="s">
        <v>55</v>
      </c>
      <c r="C50">
        <v>13</v>
      </c>
      <c r="D50" t="s">
        <v>50</v>
      </c>
    </row>
    <row r="51" spans="1:4" x14ac:dyDescent="0.2">
      <c r="A51">
        <v>13468</v>
      </c>
      <c r="B51" t="s">
        <v>56</v>
      </c>
      <c r="C51">
        <v>13</v>
      </c>
      <c r="D51" t="s">
        <v>50</v>
      </c>
    </row>
    <row r="52" spans="1:4" x14ac:dyDescent="0.2">
      <c r="A52">
        <v>13654</v>
      </c>
      <c r="B52" t="s">
        <v>57</v>
      </c>
      <c r="C52">
        <v>13</v>
      </c>
      <c r="D52" t="s">
        <v>50</v>
      </c>
    </row>
    <row r="53" spans="1:4" x14ac:dyDescent="0.2">
      <c r="A53">
        <v>13657</v>
      </c>
      <c r="B53" t="s">
        <v>58</v>
      </c>
      <c r="C53">
        <v>13</v>
      </c>
      <c r="D53" t="s">
        <v>50</v>
      </c>
    </row>
    <row r="54" spans="1:4" x14ac:dyDescent="0.2">
      <c r="A54">
        <v>13683</v>
      </c>
      <c r="B54" t="s">
        <v>59</v>
      </c>
      <c r="C54">
        <v>13</v>
      </c>
      <c r="D54" t="s">
        <v>50</v>
      </c>
    </row>
    <row r="55" spans="1:4" x14ac:dyDescent="0.2">
      <c r="A55">
        <v>13836</v>
      </c>
      <c r="B55" t="s">
        <v>60</v>
      </c>
      <c r="C55">
        <v>13</v>
      </c>
      <c r="D55" t="s">
        <v>50</v>
      </c>
    </row>
    <row r="56" spans="1:4" x14ac:dyDescent="0.2">
      <c r="A56">
        <v>13873</v>
      </c>
      <c r="B56" t="s">
        <v>61</v>
      </c>
      <c r="C56">
        <v>13</v>
      </c>
      <c r="D56" t="s">
        <v>50</v>
      </c>
    </row>
    <row r="57" spans="1:4" x14ac:dyDescent="0.2">
      <c r="A57">
        <v>13995</v>
      </c>
      <c r="B57" t="s">
        <v>44</v>
      </c>
      <c r="C57">
        <v>13</v>
      </c>
      <c r="D57" t="s">
        <v>50</v>
      </c>
    </row>
    <row r="58" spans="1:4" x14ac:dyDescent="0.2">
      <c r="A58">
        <v>13996</v>
      </c>
      <c r="B58" t="s">
        <v>45</v>
      </c>
      <c r="C58">
        <v>13</v>
      </c>
      <c r="D58" t="s">
        <v>50</v>
      </c>
    </row>
    <row r="59" spans="1:4" x14ac:dyDescent="0.2">
      <c r="A59">
        <v>13997</v>
      </c>
      <c r="B59" t="s">
        <v>46</v>
      </c>
      <c r="C59">
        <v>13</v>
      </c>
      <c r="D59" t="s">
        <v>50</v>
      </c>
    </row>
    <row r="60" spans="1:4" x14ac:dyDescent="0.2">
      <c r="A60">
        <v>13998</v>
      </c>
      <c r="B60" t="s">
        <v>62</v>
      </c>
      <c r="C60">
        <v>13</v>
      </c>
      <c r="D60" t="s">
        <v>50</v>
      </c>
    </row>
    <row r="61" spans="1:4" x14ac:dyDescent="0.2">
      <c r="A61">
        <v>15001</v>
      </c>
      <c r="B61" t="s">
        <v>63</v>
      </c>
      <c r="C61">
        <v>15</v>
      </c>
      <c r="D61" t="s">
        <v>64</v>
      </c>
    </row>
    <row r="62" spans="1:4" x14ac:dyDescent="0.2">
      <c r="A62">
        <v>15022</v>
      </c>
      <c r="B62" t="s">
        <v>65</v>
      </c>
      <c r="C62">
        <v>15</v>
      </c>
      <c r="D62" t="s">
        <v>64</v>
      </c>
    </row>
    <row r="63" spans="1:4" x14ac:dyDescent="0.2">
      <c r="A63">
        <v>15106</v>
      </c>
      <c r="B63" t="s">
        <v>66</v>
      </c>
      <c r="C63">
        <v>15</v>
      </c>
      <c r="D63" t="s">
        <v>64</v>
      </c>
    </row>
    <row r="64" spans="1:4" x14ac:dyDescent="0.2">
      <c r="A64">
        <v>15172</v>
      </c>
      <c r="B64" t="s">
        <v>67</v>
      </c>
      <c r="C64">
        <v>15</v>
      </c>
      <c r="D64" t="s">
        <v>64</v>
      </c>
    </row>
    <row r="65" spans="1:4" x14ac:dyDescent="0.2">
      <c r="A65">
        <v>15176</v>
      </c>
      <c r="B65" t="s">
        <v>68</v>
      </c>
      <c r="C65">
        <v>15</v>
      </c>
      <c r="D65" t="s">
        <v>64</v>
      </c>
    </row>
    <row r="66" spans="1:4" x14ac:dyDescent="0.2">
      <c r="A66">
        <v>15238</v>
      </c>
      <c r="B66" t="s">
        <v>69</v>
      </c>
      <c r="C66">
        <v>15</v>
      </c>
      <c r="D66" t="s">
        <v>64</v>
      </c>
    </row>
    <row r="67" spans="1:4" x14ac:dyDescent="0.2">
      <c r="A67">
        <v>15322</v>
      </c>
      <c r="B67" t="s">
        <v>70</v>
      </c>
      <c r="C67">
        <v>15</v>
      </c>
      <c r="D67" t="s">
        <v>64</v>
      </c>
    </row>
    <row r="68" spans="1:4" x14ac:dyDescent="0.2">
      <c r="A68">
        <v>15380</v>
      </c>
      <c r="B68" t="s">
        <v>71</v>
      </c>
      <c r="C68">
        <v>15</v>
      </c>
      <c r="D68" t="s">
        <v>64</v>
      </c>
    </row>
    <row r="69" spans="1:4" x14ac:dyDescent="0.2">
      <c r="A69">
        <v>15516</v>
      </c>
      <c r="B69" t="s">
        <v>72</v>
      </c>
      <c r="C69">
        <v>15</v>
      </c>
      <c r="D69" t="s">
        <v>64</v>
      </c>
    </row>
    <row r="70" spans="1:4" x14ac:dyDescent="0.2">
      <c r="A70">
        <v>15759</v>
      </c>
      <c r="B70" t="s">
        <v>73</v>
      </c>
      <c r="C70">
        <v>15</v>
      </c>
      <c r="D70" t="s">
        <v>64</v>
      </c>
    </row>
    <row r="71" spans="1:4" x14ac:dyDescent="0.2">
      <c r="A71">
        <v>15761</v>
      </c>
      <c r="B71" t="s">
        <v>74</v>
      </c>
      <c r="C71">
        <v>15</v>
      </c>
      <c r="D71" t="s">
        <v>64</v>
      </c>
    </row>
    <row r="72" spans="1:4" x14ac:dyDescent="0.2">
      <c r="A72">
        <v>15837</v>
      </c>
      <c r="B72" t="s">
        <v>75</v>
      </c>
      <c r="C72">
        <v>15</v>
      </c>
      <c r="D72" t="s">
        <v>64</v>
      </c>
    </row>
    <row r="73" spans="1:4" x14ac:dyDescent="0.2">
      <c r="A73">
        <v>15995</v>
      </c>
      <c r="B73" t="s">
        <v>44</v>
      </c>
      <c r="C73">
        <v>15</v>
      </c>
      <c r="D73" t="s">
        <v>64</v>
      </c>
    </row>
    <row r="74" spans="1:4" x14ac:dyDescent="0.2">
      <c r="A74">
        <v>15996</v>
      </c>
      <c r="B74" t="s">
        <v>45</v>
      </c>
      <c r="C74">
        <v>15</v>
      </c>
      <c r="D74" t="s">
        <v>64</v>
      </c>
    </row>
    <row r="75" spans="1:4" x14ac:dyDescent="0.2">
      <c r="A75">
        <v>15997</v>
      </c>
      <c r="B75" t="s">
        <v>46</v>
      </c>
      <c r="C75">
        <v>15</v>
      </c>
      <c r="D75" t="s">
        <v>64</v>
      </c>
    </row>
    <row r="76" spans="1:4" x14ac:dyDescent="0.2">
      <c r="A76">
        <v>17001</v>
      </c>
      <c r="B76" t="s">
        <v>76</v>
      </c>
      <c r="C76">
        <v>17</v>
      </c>
      <c r="D76" t="s">
        <v>77</v>
      </c>
    </row>
    <row r="77" spans="1:4" x14ac:dyDescent="0.2">
      <c r="A77">
        <v>17013</v>
      </c>
      <c r="B77" t="s">
        <v>78</v>
      </c>
      <c r="C77">
        <v>17</v>
      </c>
      <c r="D77" t="s">
        <v>77</v>
      </c>
    </row>
    <row r="78" spans="1:4" x14ac:dyDescent="0.2">
      <c r="A78">
        <v>17042</v>
      </c>
      <c r="B78" t="s">
        <v>79</v>
      </c>
      <c r="C78">
        <v>17</v>
      </c>
      <c r="D78" t="s">
        <v>77</v>
      </c>
    </row>
    <row r="79" spans="1:4" x14ac:dyDescent="0.2">
      <c r="A79">
        <v>17088</v>
      </c>
      <c r="B79" t="s">
        <v>80</v>
      </c>
      <c r="C79">
        <v>17</v>
      </c>
      <c r="D79" t="s">
        <v>77</v>
      </c>
    </row>
    <row r="80" spans="1:4" x14ac:dyDescent="0.2">
      <c r="A80">
        <v>17174</v>
      </c>
      <c r="B80" t="s">
        <v>81</v>
      </c>
      <c r="C80">
        <v>17</v>
      </c>
      <c r="D80" t="s">
        <v>77</v>
      </c>
    </row>
    <row r="81" spans="1:4" x14ac:dyDescent="0.2">
      <c r="A81">
        <v>17272</v>
      </c>
      <c r="B81" t="s">
        <v>82</v>
      </c>
      <c r="C81">
        <v>17</v>
      </c>
      <c r="D81" t="s">
        <v>77</v>
      </c>
    </row>
    <row r="82" spans="1:4" x14ac:dyDescent="0.2">
      <c r="A82">
        <v>17380</v>
      </c>
      <c r="B82" t="s">
        <v>83</v>
      </c>
      <c r="C82">
        <v>17</v>
      </c>
      <c r="D82" t="s">
        <v>77</v>
      </c>
    </row>
    <row r="83" spans="1:4" x14ac:dyDescent="0.2">
      <c r="A83">
        <v>17468</v>
      </c>
      <c r="B83" t="s">
        <v>84</v>
      </c>
      <c r="C83">
        <v>17</v>
      </c>
      <c r="D83" t="s">
        <v>77</v>
      </c>
    </row>
    <row r="84" spans="1:4" x14ac:dyDescent="0.2">
      <c r="A84">
        <v>17513</v>
      </c>
      <c r="B84" t="s">
        <v>85</v>
      </c>
      <c r="C84">
        <v>17</v>
      </c>
      <c r="D84" t="s">
        <v>77</v>
      </c>
    </row>
    <row r="85" spans="1:4" x14ac:dyDescent="0.2">
      <c r="A85">
        <v>17614</v>
      </c>
      <c r="B85" t="s">
        <v>86</v>
      </c>
      <c r="C85">
        <v>17</v>
      </c>
      <c r="D85" t="s">
        <v>77</v>
      </c>
    </row>
    <row r="86" spans="1:4" x14ac:dyDescent="0.2">
      <c r="A86">
        <v>17616</v>
      </c>
      <c r="B86" t="s">
        <v>87</v>
      </c>
      <c r="C86">
        <v>17</v>
      </c>
      <c r="D86" t="s">
        <v>77</v>
      </c>
    </row>
    <row r="87" spans="1:4" x14ac:dyDescent="0.2">
      <c r="A87">
        <v>17653</v>
      </c>
      <c r="B87" t="s">
        <v>88</v>
      </c>
      <c r="C87">
        <v>17</v>
      </c>
      <c r="D87" t="s">
        <v>77</v>
      </c>
    </row>
    <row r="88" spans="1:4" x14ac:dyDescent="0.2">
      <c r="A88">
        <v>17777</v>
      </c>
      <c r="B88" t="s">
        <v>89</v>
      </c>
      <c r="C88">
        <v>17</v>
      </c>
      <c r="D88" t="s">
        <v>77</v>
      </c>
    </row>
    <row r="89" spans="1:4" x14ac:dyDescent="0.2">
      <c r="A89">
        <v>17877</v>
      </c>
      <c r="B89" t="s">
        <v>90</v>
      </c>
      <c r="C89">
        <v>17</v>
      </c>
      <c r="D89" t="s">
        <v>77</v>
      </c>
    </row>
    <row r="90" spans="1:4" x14ac:dyDescent="0.2">
      <c r="A90">
        <v>17995</v>
      </c>
      <c r="B90" t="s">
        <v>44</v>
      </c>
      <c r="C90">
        <v>17</v>
      </c>
      <c r="D90" t="s">
        <v>77</v>
      </c>
    </row>
    <row r="91" spans="1:4" x14ac:dyDescent="0.2">
      <c r="A91">
        <v>17996</v>
      </c>
      <c r="B91" t="s">
        <v>45</v>
      </c>
      <c r="C91">
        <v>17</v>
      </c>
      <c r="D91" t="s">
        <v>77</v>
      </c>
    </row>
    <row r="92" spans="1:4" x14ac:dyDescent="0.2">
      <c r="A92">
        <v>17997</v>
      </c>
      <c r="B92" t="s">
        <v>46</v>
      </c>
      <c r="C92">
        <v>17</v>
      </c>
      <c r="D92" t="s">
        <v>77</v>
      </c>
    </row>
    <row r="93" spans="1:4" x14ac:dyDescent="0.2">
      <c r="A93">
        <v>18001</v>
      </c>
      <c r="B93" t="s">
        <v>91</v>
      </c>
      <c r="C93">
        <v>18</v>
      </c>
      <c r="D93" t="s">
        <v>92</v>
      </c>
    </row>
    <row r="94" spans="1:4" x14ac:dyDescent="0.2">
      <c r="A94">
        <v>18247</v>
      </c>
      <c r="B94" t="s">
        <v>93</v>
      </c>
      <c r="C94">
        <v>18</v>
      </c>
      <c r="D94" t="s">
        <v>92</v>
      </c>
    </row>
    <row r="95" spans="1:4" x14ac:dyDescent="0.2">
      <c r="A95">
        <v>18995</v>
      </c>
      <c r="B95" t="s">
        <v>44</v>
      </c>
      <c r="C95">
        <v>18</v>
      </c>
      <c r="D95" t="s">
        <v>92</v>
      </c>
    </row>
    <row r="96" spans="1:4" x14ac:dyDescent="0.2">
      <c r="A96">
        <v>18996</v>
      </c>
      <c r="B96" t="s">
        <v>45</v>
      </c>
      <c r="C96">
        <v>18</v>
      </c>
      <c r="D96" t="s">
        <v>92</v>
      </c>
    </row>
    <row r="97" spans="1:4" x14ac:dyDescent="0.2">
      <c r="A97">
        <v>18997</v>
      </c>
      <c r="B97" t="s">
        <v>46</v>
      </c>
      <c r="C97">
        <v>18</v>
      </c>
      <c r="D97" t="s">
        <v>92</v>
      </c>
    </row>
    <row r="98" spans="1:4" x14ac:dyDescent="0.2">
      <c r="A98">
        <v>18998</v>
      </c>
      <c r="B98" t="s">
        <v>62</v>
      </c>
      <c r="C98">
        <v>18</v>
      </c>
      <c r="D98" t="s">
        <v>92</v>
      </c>
    </row>
    <row r="99" spans="1:4" x14ac:dyDescent="0.2">
      <c r="A99">
        <v>19001</v>
      </c>
      <c r="B99" t="s">
        <v>94</v>
      </c>
      <c r="C99">
        <v>19</v>
      </c>
      <c r="D99" t="s">
        <v>95</v>
      </c>
    </row>
    <row r="100" spans="1:4" x14ac:dyDescent="0.2">
      <c r="A100">
        <v>19100</v>
      </c>
      <c r="B100" t="s">
        <v>96</v>
      </c>
      <c r="C100">
        <v>19</v>
      </c>
      <c r="D100" t="s">
        <v>95</v>
      </c>
    </row>
    <row r="101" spans="1:4" x14ac:dyDescent="0.2">
      <c r="A101">
        <v>19256</v>
      </c>
      <c r="B101" t="s">
        <v>97</v>
      </c>
      <c r="C101">
        <v>19</v>
      </c>
      <c r="D101" t="s">
        <v>95</v>
      </c>
    </row>
    <row r="102" spans="1:4" x14ac:dyDescent="0.2">
      <c r="A102">
        <v>19364</v>
      </c>
      <c r="B102" t="s">
        <v>98</v>
      </c>
      <c r="C102">
        <v>19</v>
      </c>
      <c r="D102" t="s">
        <v>95</v>
      </c>
    </row>
    <row r="103" spans="1:4" x14ac:dyDescent="0.2">
      <c r="A103">
        <v>19548</v>
      </c>
      <c r="B103" t="s">
        <v>99</v>
      </c>
      <c r="C103">
        <v>19</v>
      </c>
      <c r="D103" t="s">
        <v>95</v>
      </c>
    </row>
    <row r="104" spans="1:4" x14ac:dyDescent="0.2">
      <c r="A104">
        <v>19622</v>
      </c>
      <c r="B104" t="s">
        <v>100</v>
      </c>
      <c r="C104">
        <v>19</v>
      </c>
      <c r="D104" t="s">
        <v>95</v>
      </c>
    </row>
    <row r="105" spans="1:4" x14ac:dyDescent="0.2">
      <c r="A105">
        <v>19698</v>
      </c>
      <c r="B105" t="s">
        <v>101</v>
      </c>
      <c r="C105">
        <v>19</v>
      </c>
      <c r="D105" t="s">
        <v>95</v>
      </c>
    </row>
    <row r="106" spans="1:4" x14ac:dyDescent="0.2">
      <c r="A106">
        <v>19743</v>
      </c>
      <c r="B106" t="s">
        <v>102</v>
      </c>
      <c r="C106">
        <v>19</v>
      </c>
      <c r="D106" t="s">
        <v>95</v>
      </c>
    </row>
    <row r="107" spans="1:4" x14ac:dyDescent="0.2">
      <c r="A107">
        <v>19821</v>
      </c>
      <c r="B107" t="s">
        <v>103</v>
      </c>
      <c r="C107">
        <v>19</v>
      </c>
      <c r="D107" t="s">
        <v>95</v>
      </c>
    </row>
    <row r="108" spans="1:4" x14ac:dyDescent="0.2">
      <c r="A108">
        <v>19995</v>
      </c>
      <c r="B108" t="s">
        <v>44</v>
      </c>
      <c r="C108">
        <v>19</v>
      </c>
      <c r="D108" t="s">
        <v>95</v>
      </c>
    </row>
    <row r="109" spans="1:4" x14ac:dyDescent="0.2">
      <c r="A109">
        <v>19996</v>
      </c>
      <c r="B109" t="s">
        <v>45</v>
      </c>
      <c r="C109">
        <v>19</v>
      </c>
      <c r="D109" t="s">
        <v>95</v>
      </c>
    </row>
    <row r="110" spans="1:4" x14ac:dyDescent="0.2">
      <c r="A110">
        <v>19997</v>
      </c>
      <c r="B110" t="s">
        <v>46</v>
      </c>
      <c r="C110">
        <v>19</v>
      </c>
      <c r="D110" t="s">
        <v>95</v>
      </c>
    </row>
    <row r="111" spans="1:4" x14ac:dyDescent="0.2">
      <c r="A111">
        <v>20001</v>
      </c>
      <c r="B111" t="s">
        <v>104</v>
      </c>
      <c r="C111">
        <v>20</v>
      </c>
      <c r="D111" t="s">
        <v>105</v>
      </c>
    </row>
    <row r="112" spans="1:4" x14ac:dyDescent="0.2">
      <c r="A112">
        <v>20011</v>
      </c>
      <c r="B112" t="s">
        <v>106</v>
      </c>
      <c r="C112">
        <v>20</v>
      </c>
      <c r="D112" t="s">
        <v>105</v>
      </c>
    </row>
    <row r="113" spans="1:4" x14ac:dyDescent="0.2">
      <c r="A113">
        <v>20045</v>
      </c>
      <c r="B113" t="s">
        <v>107</v>
      </c>
      <c r="C113">
        <v>20</v>
      </c>
      <c r="D113" t="s">
        <v>105</v>
      </c>
    </row>
    <row r="114" spans="1:4" x14ac:dyDescent="0.2">
      <c r="A114">
        <v>20060</v>
      </c>
      <c r="B114" t="s">
        <v>108</v>
      </c>
      <c r="C114">
        <v>20</v>
      </c>
      <c r="D114" t="s">
        <v>105</v>
      </c>
    </row>
    <row r="115" spans="1:4" x14ac:dyDescent="0.2">
      <c r="A115">
        <v>20400</v>
      </c>
      <c r="B115" t="s">
        <v>109</v>
      </c>
      <c r="C115">
        <v>20</v>
      </c>
      <c r="D115" t="s">
        <v>105</v>
      </c>
    </row>
    <row r="116" spans="1:4" x14ac:dyDescent="0.2">
      <c r="A116">
        <v>20517</v>
      </c>
      <c r="B116" t="s">
        <v>110</v>
      </c>
      <c r="C116">
        <v>20</v>
      </c>
      <c r="D116" t="s">
        <v>105</v>
      </c>
    </row>
    <row r="117" spans="1:4" x14ac:dyDescent="0.2">
      <c r="A117">
        <v>20621</v>
      </c>
      <c r="B117" t="s">
        <v>111</v>
      </c>
      <c r="C117">
        <v>20</v>
      </c>
      <c r="D117" t="s">
        <v>105</v>
      </c>
    </row>
    <row r="118" spans="1:4" x14ac:dyDescent="0.2">
      <c r="A118">
        <v>20710</v>
      </c>
      <c r="B118" t="s">
        <v>112</v>
      </c>
      <c r="C118">
        <v>20</v>
      </c>
      <c r="D118" t="s">
        <v>105</v>
      </c>
    </row>
    <row r="119" spans="1:4" x14ac:dyDescent="0.2">
      <c r="A119">
        <v>20750</v>
      </c>
      <c r="B119" t="s">
        <v>113</v>
      </c>
      <c r="C119">
        <v>20</v>
      </c>
      <c r="D119" t="s">
        <v>105</v>
      </c>
    </row>
    <row r="120" spans="1:4" x14ac:dyDescent="0.2">
      <c r="A120">
        <v>20995</v>
      </c>
      <c r="B120" t="s">
        <v>44</v>
      </c>
      <c r="C120">
        <v>20</v>
      </c>
      <c r="D120" t="s">
        <v>105</v>
      </c>
    </row>
    <row r="121" spans="1:4" x14ac:dyDescent="0.2">
      <c r="A121">
        <v>20996</v>
      </c>
      <c r="B121" t="s">
        <v>45</v>
      </c>
      <c r="C121">
        <v>20</v>
      </c>
      <c r="D121" t="s">
        <v>105</v>
      </c>
    </row>
    <row r="122" spans="1:4" x14ac:dyDescent="0.2">
      <c r="A122">
        <v>20997</v>
      </c>
      <c r="B122" t="s">
        <v>46</v>
      </c>
      <c r="C122">
        <v>20</v>
      </c>
      <c r="D122" t="s">
        <v>105</v>
      </c>
    </row>
    <row r="123" spans="1:4" x14ac:dyDescent="0.2">
      <c r="A123">
        <v>23001</v>
      </c>
      <c r="B123" t="s">
        <v>114</v>
      </c>
      <c r="C123">
        <v>23</v>
      </c>
      <c r="D123" t="s">
        <v>115</v>
      </c>
    </row>
    <row r="124" spans="1:4" x14ac:dyDescent="0.2">
      <c r="A124">
        <v>23162</v>
      </c>
      <c r="B124" t="s">
        <v>116</v>
      </c>
      <c r="C124">
        <v>23</v>
      </c>
      <c r="D124" t="s">
        <v>115</v>
      </c>
    </row>
    <row r="125" spans="1:4" x14ac:dyDescent="0.2">
      <c r="A125">
        <v>23182</v>
      </c>
      <c r="B125" t="s">
        <v>117</v>
      </c>
      <c r="C125">
        <v>23</v>
      </c>
      <c r="D125" t="s">
        <v>115</v>
      </c>
    </row>
    <row r="126" spans="1:4" x14ac:dyDescent="0.2">
      <c r="A126">
        <v>23189</v>
      </c>
      <c r="B126" t="s">
        <v>118</v>
      </c>
      <c r="C126">
        <v>23</v>
      </c>
      <c r="D126" t="s">
        <v>115</v>
      </c>
    </row>
    <row r="127" spans="1:4" x14ac:dyDescent="0.2">
      <c r="A127">
        <v>23417</v>
      </c>
      <c r="B127" t="s">
        <v>119</v>
      </c>
      <c r="C127">
        <v>23</v>
      </c>
      <c r="D127" t="s">
        <v>115</v>
      </c>
    </row>
    <row r="128" spans="1:4" x14ac:dyDescent="0.2">
      <c r="A128">
        <v>23419</v>
      </c>
      <c r="B128" t="s">
        <v>120</v>
      </c>
      <c r="C128">
        <v>23</v>
      </c>
      <c r="D128" t="s">
        <v>115</v>
      </c>
    </row>
    <row r="129" spans="1:4" x14ac:dyDescent="0.2">
      <c r="A129">
        <v>23555</v>
      </c>
      <c r="B129" t="s">
        <v>121</v>
      </c>
      <c r="C129">
        <v>23</v>
      </c>
      <c r="D129" t="s">
        <v>115</v>
      </c>
    </row>
    <row r="130" spans="1:4" x14ac:dyDescent="0.2">
      <c r="A130">
        <v>23574</v>
      </c>
      <c r="B130" t="s">
        <v>122</v>
      </c>
      <c r="C130">
        <v>23</v>
      </c>
      <c r="D130" t="s">
        <v>115</v>
      </c>
    </row>
    <row r="131" spans="1:4" x14ac:dyDescent="0.2">
      <c r="A131">
        <v>23660</v>
      </c>
      <c r="B131" t="s">
        <v>123</v>
      </c>
      <c r="C131">
        <v>23</v>
      </c>
      <c r="D131" t="s">
        <v>115</v>
      </c>
    </row>
    <row r="132" spans="1:4" x14ac:dyDescent="0.2">
      <c r="A132">
        <v>23686</v>
      </c>
      <c r="B132" t="s">
        <v>124</v>
      </c>
      <c r="C132">
        <v>23</v>
      </c>
      <c r="D132" t="s">
        <v>115</v>
      </c>
    </row>
    <row r="133" spans="1:4" x14ac:dyDescent="0.2">
      <c r="A133">
        <v>23807</v>
      </c>
      <c r="B133" t="s">
        <v>125</v>
      </c>
      <c r="C133">
        <v>23</v>
      </c>
      <c r="D133" t="s">
        <v>115</v>
      </c>
    </row>
    <row r="134" spans="1:4" x14ac:dyDescent="0.2">
      <c r="A134">
        <v>23995</v>
      </c>
      <c r="B134" t="s">
        <v>44</v>
      </c>
      <c r="C134">
        <v>23</v>
      </c>
      <c r="D134" t="s">
        <v>115</v>
      </c>
    </row>
    <row r="135" spans="1:4" x14ac:dyDescent="0.2">
      <c r="A135">
        <v>23996</v>
      </c>
      <c r="B135" t="s">
        <v>45</v>
      </c>
      <c r="C135">
        <v>23</v>
      </c>
      <c r="D135" t="s">
        <v>115</v>
      </c>
    </row>
    <row r="136" spans="1:4" x14ac:dyDescent="0.2">
      <c r="A136">
        <v>23997</v>
      </c>
      <c r="B136" t="s">
        <v>46</v>
      </c>
      <c r="C136">
        <v>23</v>
      </c>
      <c r="D136" t="s">
        <v>115</v>
      </c>
    </row>
    <row r="137" spans="1:4" x14ac:dyDescent="0.2">
      <c r="A137">
        <v>25001</v>
      </c>
      <c r="B137" t="s">
        <v>126</v>
      </c>
      <c r="C137">
        <v>25</v>
      </c>
      <c r="D137" t="s">
        <v>127</v>
      </c>
    </row>
    <row r="138" spans="1:4" x14ac:dyDescent="0.2">
      <c r="A138">
        <v>25040</v>
      </c>
      <c r="B138" t="s">
        <v>128</v>
      </c>
      <c r="C138">
        <v>25</v>
      </c>
      <c r="D138" t="s">
        <v>127</v>
      </c>
    </row>
    <row r="139" spans="1:4" x14ac:dyDescent="0.2">
      <c r="A139">
        <v>25123</v>
      </c>
      <c r="B139" t="s">
        <v>129</v>
      </c>
      <c r="C139">
        <v>25</v>
      </c>
      <c r="D139" t="s">
        <v>127</v>
      </c>
    </row>
    <row r="140" spans="1:4" x14ac:dyDescent="0.2">
      <c r="A140">
        <v>25126</v>
      </c>
      <c r="B140" t="s">
        <v>130</v>
      </c>
      <c r="C140">
        <v>25</v>
      </c>
      <c r="D140" t="s">
        <v>127</v>
      </c>
    </row>
    <row r="141" spans="1:4" x14ac:dyDescent="0.2">
      <c r="A141">
        <v>25151</v>
      </c>
      <c r="B141" t="s">
        <v>131</v>
      </c>
      <c r="C141">
        <v>25</v>
      </c>
      <c r="D141" t="s">
        <v>127</v>
      </c>
    </row>
    <row r="142" spans="1:4" x14ac:dyDescent="0.2">
      <c r="A142">
        <v>25168</v>
      </c>
      <c r="B142" t="s">
        <v>132</v>
      </c>
      <c r="C142">
        <v>25</v>
      </c>
      <c r="D142" t="s">
        <v>127</v>
      </c>
    </row>
    <row r="143" spans="1:4" x14ac:dyDescent="0.2">
      <c r="A143">
        <v>25175</v>
      </c>
      <c r="B143" t="s">
        <v>133</v>
      </c>
      <c r="C143">
        <v>25</v>
      </c>
      <c r="D143" t="s">
        <v>127</v>
      </c>
    </row>
    <row r="144" spans="1:4" x14ac:dyDescent="0.2">
      <c r="A144">
        <v>25178</v>
      </c>
      <c r="B144" t="s">
        <v>134</v>
      </c>
      <c r="C144">
        <v>25</v>
      </c>
      <c r="D144" t="s">
        <v>127</v>
      </c>
    </row>
    <row r="145" spans="1:4" x14ac:dyDescent="0.2">
      <c r="A145">
        <v>25181</v>
      </c>
      <c r="B145" t="s">
        <v>135</v>
      </c>
      <c r="C145">
        <v>25</v>
      </c>
      <c r="D145" t="s">
        <v>127</v>
      </c>
    </row>
    <row r="146" spans="1:4" x14ac:dyDescent="0.2">
      <c r="A146">
        <v>25214</v>
      </c>
      <c r="B146" t="s">
        <v>136</v>
      </c>
      <c r="C146">
        <v>25</v>
      </c>
      <c r="D146" t="s">
        <v>127</v>
      </c>
    </row>
    <row r="147" spans="1:4" x14ac:dyDescent="0.2">
      <c r="A147">
        <v>25269</v>
      </c>
      <c r="B147" t="s">
        <v>137</v>
      </c>
      <c r="C147">
        <v>25</v>
      </c>
      <c r="D147" t="s">
        <v>127</v>
      </c>
    </row>
    <row r="148" spans="1:4" x14ac:dyDescent="0.2">
      <c r="A148">
        <v>25279</v>
      </c>
      <c r="B148" t="s">
        <v>138</v>
      </c>
      <c r="C148">
        <v>25</v>
      </c>
      <c r="D148" t="s">
        <v>127</v>
      </c>
    </row>
    <row r="149" spans="1:4" x14ac:dyDescent="0.2">
      <c r="A149">
        <v>25286</v>
      </c>
      <c r="B149" t="s">
        <v>139</v>
      </c>
      <c r="C149">
        <v>25</v>
      </c>
      <c r="D149" t="s">
        <v>127</v>
      </c>
    </row>
    <row r="150" spans="1:4" x14ac:dyDescent="0.2">
      <c r="A150">
        <v>25290</v>
      </c>
      <c r="B150" t="s">
        <v>140</v>
      </c>
      <c r="C150">
        <v>25</v>
      </c>
      <c r="D150" t="s">
        <v>127</v>
      </c>
    </row>
    <row r="151" spans="1:4" x14ac:dyDescent="0.2">
      <c r="A151">
        <v>25297</v>
      </c>
      <c r="B151" t="s">
        <v>141</v>
      </c>
      <c r="C151">
        <v>25</v>
      </c>
      <c r="D151" t="s">
        <v>127</v>
      </c>
    </row>
    <row r="152" spans="1:4" x14ac:dyDescent="0.2">
      <c r="A152">
        <v>25307</v>
      </c>
      <c r="B152" t="s">
        <v>142</v>
      </c>
      <c r="C152">
        <v>25</v>
      </c>
      <c r="D152" t="s">
        <v>127</v>
      </c>
    </row>
    <row r="153" spans="1:4" x14ac:dyDescent="0.2">
      <c r="A153">
        <v>25815</v>
      </c>
      <c r="B153" t="s">
        <v>143</v>
      </c>
      <c r="C153">
        <v>25</v>
      </c>
      <c r="D153" t="s">
        <v>127</v>
      </c>
    </row>
    <row r="154" spans="1:4" x14ac:dyDescent="0.2">
      <c r="A154">
        <v>25843</v>
      </c>
      <c r="B154" t="s">
        <v>144</v>
      </c>
      <c r="C154">
        <v>25</v>
      </c>
      <c r="D154" t="s">
        <v>127</v>
      </c>
    </row>
    <row r="155" spans="1:4" x14ac:dyDescent="0.2">
      <c r="A155">
        <v>25875</v>
      </c>
      <c r="B155" t="s">
        <v>145</v>
      </c>
      <c r="C155">
        <v>25</v>
      </c>
      <c r="D155" t="s">
        <v>127</v>
      </c>
    </row>
    <row r="156" spans="1:4" x14ac:dyDescent="0.2">
      <c r="A156">
        <v>25995</v>
      </c>
      <c r="B156" t="s">
        <v>146</v>
      </c>
      <c r="C156">
        <v>25</v>
      </c>
      <c r="D156" t="s">
        <v>127</v>
      </c>
    </row>
    <row r="157" spans="1:4" x14ac:dyDescent="0.2">
      <c r="A157">
        <v>25996</v>
      </c>
      <c r="B157" t="s">
        <v>31</v>
      </c>
      <c r="C157">
        <v>25</v>
      </c>
      <c r="D157" t="s">
        <v>127</v>
      </c>
    </row>
    <row r="158" spans="1:4" x14ac:dyDescent="0.2">
      <c r="A158">
        <v>25997</v>
      </c>
      <c r="B158" t="s">
        <v>32</v>
      </c>
      <c r="C158">
        <v>25</v>
      </c>
      <c r="D158" t="s">
        <v>127</v>
      </c>
    </row>
    <row r="159" spans="1:4" x14ac:dyDescent="0.2">
      <c r="A159">
        <v>27001</v>
      </c>
      <c r="B159" t="s">
        <v>147</v>
      </c>
      <c r="C159">
        <v>27</v>
      </c>
      <c r="D159" t="s">
        <v>148</v>
      </c>
    </row>
    <row r="160" spans="1:4" x14ac:dyDescent="0.2">
      <c r="A160">
        <v>27361</v>
      </c>
      <c r="B160" t="s">
        <v>149</v>
      </c>
      <c r="C160">
        <v>27</v>
      </c>
      <c r="D160" t="s">
        <v>148</v>
      </c>
    </row>
    <row r="161" spans="1:4" x14ac:dyDescent="0.2">
      <c r="A161">
        <v>27787</v>
      </c>
      <c r="B161" t="s">
        <v>150</v>
      </c>
      <c r="C161">
        <v>27</v>
      </c>
      <c r="D161" t="s">
        <v>148</v>
      </c>
    </row>
    <row r="162" spans="1:4" x14ac:dyDescent="0.2">
      <c r="A162">
        <v>27995</v>
      </c>
      <c r="B162" t="s">
        <v>44</v>
      </c>
      <c r="C162">
        <v>27</v>
      </c>
      <c r="D162" t="s">
        <v>148</v>
      </c>
    </row>
    <row r="163" spans="1:4" x14ac:dyDescent="0.2">
      <c r="A163">
        <v>27996</v>
      </c>
      <c r="B163" t="s">
        <v>45</v>
      </c>
      <c r="C163">
        <v>27</v>
      </c>
      <c r="D163" t="s">
        <v>148</v>
      </c>
    </row>
    <row r="164" spans="1:4" x14ac:dyDescent="0.2">
      <c r="A164">
        <v>27997</v>
      </c>
      <c r="B164" t="s">
        <v>151</v>
      </c>
      <c r="C164">
        <v>27</v>
      </c>
      <c r="D164" t="s">
        <v>148</v>
      </c>
    </row>
    <row r="165" spans="1:4" x14ac:dyDescent="0.2">
      <c r="A165">
        <v>41001</v>
      </c>
      <c r="B165" t="s">
        <v>152</v>
      </c>
      <c r="C165">
        <v>41</v>
      </c>
      <c r="D165" t="s">
        <v>153</v>
      </c>
    </row>
    <row r="166" spans="1:4" x14ac:dyDescent="0.2">
      <c r="A166">
        <v>41020</v>
      </c>
      <c r="B166" t="s">
        <v>154</v>
      </c>
      <c r="C166">
        <v>41</v>
      </c>
      <c r="D166" t="s">
        <v>153</v>
      </c>
    </row>
    <row r="167" spans="1:4" x14ac:dyDescent="0.2">
      <c r="A167">
        <v>41132</v>
      </c>
      <c r="B167" t="s">
        <v>155</v>
      </c>
      <c r="C167">
        <v>41</v>
      </c>
      <c r="D167" t="s">
        <v>153</v>
      </c>
    </row>
    <row r="168" spans="1:4" x14ac:dyDescent="0.2">
      <c r="A168">
        <v>41298</v>
      </c>
      <c r="B168" t="s">
        <v>156</v>
      </c>
      <c r="C168">
        <v>41</v>
      </c>
      <c r="D168" t="s">
        <v>153</v>
      </c>
    </row>
    <row r="169" spans="1:4" x14ac:dyDescent="0.2">
      <c r="A169">
        <v>41306</v>
      </c>
      <c r="B169" t="s">
        <v>157</v>
      </c>
      <c r="C169">
        <v>41</v>
      </c>
      <c r="D169" t="s">
        <v>153</v>
      </c>
    </row>
    <row r="170" spans="1:4" x14ac:dyDescent="0.2">
      <c r="A170">
        <v>41396</v>
      </c>
      <c r="B170" t="s">
        <v>158</v>
      </c>
      <c r="C170">
        <v>41</v>
      </c>
      <c r="D170" t="s">
        <v>153</v>
      </c>
    </row>
    <row r="171" spans="1:4" x14ac:dyDescent="0.2">
      <c r="A171">
        <v>41551</v>
      </c>
      <c r="B171" t="s">
        <v>159</v>
      </c>
      <c r="C171">
        <v>41</v>
      </c>
      <c r="D171" t="s">
        <v>153</v>
      </c>
    </row>
    <row r="172" spans="1:4" x14ac:dyDescent="0.2">
      <c r="A172">
        <v>41668</v>
      </c>
      <c r="B172" t="s">
        <v>160</v>
      </c>
      <c r="C172">
        <v>41</v>
      </c>
      <c r="D172" t="s">
        <v>153</v>
      </c>
    </row>
    <row r="173" spans="1:4" x14ac:dyDescent="0.2">
      <c r="A173">
        <v>41797</v>
      </c>
      <c r="B173" t="s">
        <v>161</v>
      </c>
      <c r="C173">
        <v>41</v>
      </c>
      <c r="D173" t="s">
        <v>153</v>
      </c>
    </row>
    <row r="174" spans="1:4" x14ac:dyDescent="0.2">
      <c r="A174">
        <v>41799</v>
      </c>
      <c r="B174" t="s">
        <v>162</v>
      </c>
      <c r="C174">
        <v>41</v>
      </c>
      <c r="D174" t="s">
        <v>153</v>
      </c>
    </row>
    <row r="175" spans="1:4" x14ac:dyDescent="0.2">
      <c r="A175">
        <v>41995</v>
      </c>
      <c r="B175" t="s">
        <v>44</v>
      </c>
      <c r="C175">
        <v>41</v>
      </c>
      <c r="D175" t="s">
        <v>153</v>
      </c>
    </row>
    <row r="176" spans="1:4" x14ac:dyDescent="0.2">
      <c r="A176">
        <v>41996</v>
      </c>
      <c r="B176" t="s">
        <v>45</v>
      </c>
      <c r="C176">
        <v>41</v>
      </c>
      <c r="D176" t="s">
        <v>153</v>
      </c>
    </row>
    <row r="177" spans="1:4" x14ac:dyDescent="0.2">
      <c r="A177">
        <v>41997</v>
      </c>
      <c r="B177" t="s">
        <v>46</v>
      </c>
      <c r="C177">
        <v>41</v>
      </c>
      <c r="D177" t="s">
        <v>153</v>
      </c>
    </row>
    <row r="178" spans="1:4" x14ac:dyDescent="0.2">
      <c r="A178">
        <v>41998</v>
      </c>
      <c r="B178" t="s">
        <v>62</v>
      </c>
      <c r="C178">
        <v>41</v>
      </c>
      <c r="D178" t="s">
        <v>153</v>
      </c>
    </row>
    <row r="179" spans="1:4" x14ac:dyDescent="0.2">
      <c r="A179">
        <v>44001</v>
      </c>
      <c r="B179" t="s">
        <v>163</v>
      </c>
      <c r="C179">
        <v>44</v>
      </c>
      <c r="D179" t="s">
        <v>164</v>
      </c>
    </row>
    <row r="180" spans="1:4" x14ac:dyDescent="0.2">
      <c r="A180">
        <v>44078</v>
      </c>
      <c r="B180" t="s">
        <v>165</v>
      </c>
      <c r="C180">
        <v>44</v>
      </c>
      <c r="D180" t="s">
        <v>164</v>
      </c>
    </row>
    <row r="181" spans="1:4" x14ac:dyDescent="0.2">
      <c r="A181">
        <v>44110</v>
      </c>
      <c r="B181" t="s">
        <v>166</v>
      </c>
      <c r="C181">
        <v>44</v>
      </c>
      <c r="D181" t="s">
        <v>164</v>
      </c>
    </row>
    <row r="182" spans="1:4" x14ac:dyDescent="0.2">
      <c r="A182">
        <v>44279</v>
      </c>
      <c r="B182" t="s">
        <v>167</v>
      </c>
      <c r="C182">
        <v>44</v>
      </c>
      <c r="D182" t="s">
        <v>164</v>
      </c>
    </row>
    <row r="183" spans="1:4" x14ac:dyDescent="0.2">
      <c r="A183">
        <v>44430</v>
      </c>
      <c r="B183" t="s">
        <v>168</v>
      </c>
      <c r="C183">
        <v>44</v>
      </c>
      <c r="D183" t="s">
        <v>164</v>
      </c>
    </row>
    <row r="184" spans="1:4" x14ac:dyDescent="0.2">
      <c r="A184">
        <v>44560</v>
      </c>
      <c r="B184" t="s">
        <v>169</v>
      </c>
      <c r="C184">
        <v>44</v>
      </c>
      <c r="D184" t="s">
        <v>164</v>
      </c>
    </row>
    <row r="185" spans="1:4" x14ac:dyDescent="0.2">
      <c r="A185">
        <v>44650</v>
      </c>
      <c r="B185" t="s">
        <v>170</v>
      </c>
      <c r="C185">
        <v>44</v>
      </c>
      <c r="D185" t="s">
        <v>164</v>
      </c>
    </row>
    <row r="186" spans="1:4" x14ac:dyDescent="0.2">
      <c r="A186">
        <v>44847</v>
      </c>
      <c r="B186" t="s">
        <v>171</v>
      </c>
      <c r="C186">
        <v>44</v>
      </c>
      <c r="D186" t="s">
        <v>164</v>
      </c>
    </row>
    <row r="187" spans="1:4" x14ac:dyDescent="0.2">
      <c r="A187">
        <v>44855</v>
      </c>
      <c r="B187" t="s">
        <v>172</v>
      </c>
      <c r="C187">
        <v>44</v>
      </c>
      <c r="D187" t="s">
        <v>164</v>
      </c>
    </row>
    <row r="188" spans="1:4" x14ac:dyDescent="0.2">
      <c r="A188">
        <v>44874</v>
      </c>
      <c r="B188" t="s">
        <v>61</v>
      </c>
      <c r="C188">
        <v>44</v>
      </c>
      <c r="D188" t="s">
        <v>164</v>
      </c>
    </row>
    <row r="189" spans="1:4" x14ac:dyDescent="0.2">
      <c r="A189">
        <v>44995</v>
      </c>
      <c r="B189" t="s">
        <v>44</v>
      </c>
      <c r="C189">
        <v>44</v>
      </c>
      <c r="D189" t="s">
        <v>164</v>
      </c>
    </row>
    <row r="190" spans="1:4" x14ac:dyDescent="0.2">
      <c r="A190">
        <v>44996</v>
      </c>
      <c r="B190" t="s">
        <v>45</v>
      </c>
      <c r="C190">
        <v>44</v>
      </c>
      <c r="D190" t="s">
        <v>164</v>
      </c>
    </row>
    <row r="191" spans="1:4" x14ac:dyDescent="0.2">
      <c r="A191">
        <v>44997</v>
      </c>
      <c r="B191" t="s">
        <v>46</v>
      </c>
      <c r="C191">
        <v>44</v>
      </c>
      <c r="D191" t="s">
        <v>164</v>
      </c>
    </row>
    <row r="192" spans="1:4" x14ac:dyDescent="0.2">
      <c r="A192">
        <v>47001</v>
      </c>
      <c r="B192" t="s">
        <v>173</v>
      </c>
      <c r="C192">
        <v>47</v>
      </c>
      <c r="D192" t="s">
        <v>174</v>
      </c>
    </row>
    <row r="193" spans="1:4" x14ac:dyDescent="0.2">
      <c r="A193">
        <v>47053</v>
      </c>
      <c r="B193" t="s">
        <v>175</v>
      </c>
      <c r="C193">
        <v>47</v>
      </c>
      <c r="D193" t="s">
        <v>174</v>
      </c>
    </row>
    <row r="194" spans="1:4" x14ac:dyDescent="0.2">
      <c r="A194">
        <v>47189</v>
      </c>
      <c r="B194" t="s">
        <v>176</v>
      </c>
      <c r="C194">
        <v>47</v>
      </c>
      <c r="D194" t="s">
        <v>174</v>
      </c>
    </row>
    <row r="195" spans="1:4" x14ac:dyDescent="0.2">
      <c r="A195">
        <v>47245</v>
      </c>
      <c r="B195" t="s">
        <v>177</v>
      </c>
      <c r="C195">
        <v>47</v>
      </c>
      <c r="D195" t="s">
        <v>174</v>
      </c>
    </row>
    <row r="196" spans="1:4" x14ac:dyDescent="0.2">
      <c r="A196">
        <v>47288</v>
      </c>
      <c r="B196" t="s">
        <v>178</v>
      </c>
      <c r="C196">
        <v>47</v>
      </c>
      <c r="D196" t="s">
        <v>174</v>
      </c>
    </row>
    <row r="197" spans="1:4" x14ac:dyDescent="0.2">
      <c r="A197">
        <v>47316</v>
      </c>
      <c r="B197" t="s">
        <v>179</v>
      </c>
      <c r="C197">
        <v>47</v>
      </c>
      <c r="D197" t="s">
        <v>174</v>
      </c>
    </row>
    <row r="198" spans="1:4" x14ac:dyDescent="0.2">
      <c r="A198">
        <v>47551</v>
      </c>
      <c r="B198" t="s">
        <v>180</v>
      </c>
      <c r="C198">
        <v>47</v>
      </c>
      <c r="D198" t="s">
        <v>174</v>
      </c>
    </row>
    <row r="199" spans="1:4" x14ac:dyDescent="0.2">
      <c r="A199">
        <v>47555</v>
      </c>
      <c r="B199" t="s">
        <v>181</v>
      </c>
      <c r="C199">
        <v>47</v>
      </c>
      <c r="D199" t="s">
        <v>174</v>
      </c>
    </row>
    <row r="200" spans="1:4" x14ac:dyDescent="0.2">
      <c r="A200">
        <v>47798</v>
      </c>
      <c r="B200" t="s">
        <v>182</v>
      </c>
      <c r="C200">
        <v>47</v>
      </c>
      <c r="D200" t="s">
        <v>174</v>
      </c>
    </row>
    <row r="201" spans="1:4" x14ac:dyDescent="0.2">
      <c r="A201">
        <v>47995</v>
      </c>
      <c r="B201" t="s">
        <v>44</v>
      </c>
      <c r="C201">
        <v>47</v>
      </c>
      <c r="D201" t="s">
        <v>174</v>
      </c>
    </row>
    <row r="202" spans="1:4" x14ac:dyDescent="0.2">
      <c r="A202">
        <v>47996</v>
      </c>
      <c r="B202" t="s">
        <v>45</v>
      </c>
      <c r="C202">
        <v>47</v>
      </c>
      <c r="D202" t="s">
        <v>174</v>
      </c>
    </row>
    <row r="203" spans="1:4" x14ac:dyDescent="0.2">
      <c r="A203">
        <v>47997</v>
      </c>
      <c r="B203" t="s">
        <v>46</v>
      </c>
      <c r="C203">
        <v>47</v>
      </c>
      <c r="D203" t="s">
        <v>174</v>
      </c>
    </row>
    <row r="204" spans="1:4" x14ac:dyDescent="0.2">
      <c r="A204">
        <v>50001</v>
      </c>
      <c r="B204" t="s">
        <v>183</v>
      </c>
      <c r="C204">
        <v>50</v>
      </c>
      <c r="D204" t="s">
        <v>184</v>
      </c>
    </row>
    <row r="205" spans="1:4" x14ac:dyDescent="0.2">
      <c r="A205">
        <v>50006</v>
      </c>
      <c r="B205" t="s">
        <v>185</v>
      </c>
      <c r="C205">
        <v>50</v>
      </c>
      <c r="D205" t="s">
        <v>184</v>
      </c>
    </row>
    <row r="206" spans="1:4" x14ac:dyDescent="0.2">
      <c r="A206">
        <v>50226</v>
      </c>
      <c r="B206" t="s">
        <v>186</v>
      </c>
      <c r="C206">
        <v>50</v>
      </c>
      <c r="D206" t="s">
        <v>184</v>
      </c>
    </row>
    <row r="207" spans="1:4" x14ac:dyDescent="0.2">
      <c r="A207">
        <v>50313</v>
      </c>
      <c r="B207" t="s">
        <v>187</v>
      </c>
      <c r="C207">
        <v>50</v>
      </c>
      <c r="D207" t="s">
        <v>184</v>
      </c>
    </row>
    <row r="208" spans="1:4" x14ac:dyDescent="0.2">
      <c r="A208">
        <v>50318</v>
      </c>
      <c r="B208" t="s">
        <v>179</v>
      </c>
      <c r="C208">
        <v>50</v>
      </c>
      <c r="D208" t="s">
        <v>184</v>
      </c>
    </row>
    <row r="209" spans="1:4" x14ac:dyDescent="0.2">
      <c r="A209">
        <v>50568</v>
      </c>
      <c r="B209" t="s">
        <v>188</v>
      </c>
      <c r="C209">
        <v>50</v>
      </c>
      <c r="D209" t="s">
        <v>184</v>
      </c>
    </row>
    <row r="210" spans="1:4" x14ac:dyDescent="0.2">
      <c r="A210">
        <v>50573</v>
      </c>
      <c r="B210" t="s">
        <v>189</v>
      </c>
      <c r="C210">
        <v>50</v>
      </c>
      <c r="D210" t="s">
        <v>184</v>
      </c>
    </row>
    <row r="211" spans="1:4" x14ac:dyDescent="0.2">
      <c r="A211">
        <v>50590</v>
      </c>
      <c r="B211" t="s">
        <v>190</v>
      </c>
      <c r="C211">
        <v>50</v>
      </c>
      <c r="D211" t="s">
        <v>184</v>
      </c>
    </row>
    <row r="212" spans="1:4" x14ac:dyDescent="0.2">
      <c r="A212">
        <v>50606</v>
      </c>
      <c r="B212" t="s">
        <v>191</v>
      </c>
      <c r="C212">
        <v>50</v>
      </c>
      <c r="D212" t="s">
        <v>184</v>
      </c>
    </row>
    <row r="213" spans="1:4" x14ac:dyDescent="0.2">
      <c r="A213">
        <v>50689</v>
      </c>
      <c r="B213" t="s">
        <v>192</v>
      </c>
      <c r="C213">
        <v>50</v>
      </c>
      <c r="D213" t="s">
        <v>184</v>
      </c>
    </row>
    <row r="214" spans="1:4" x14ac:dyDescent="0.2">
      <c r="A214">
        <v>50995</v>
      </c>
      <c r="B214" t="s">
        <v>44</v>
      </c>
      <c r="C214">
        <v>50</v>
      </c>
      <c r="D214" t="s">
        <v>184</v>
      </c>
    </row>
    <row r="215" spans="1:4" x14ac:dyDescent="0.2">
      <c r="A215">
        <v>50996</v>
      </c>
      <c r="B215" t="s">
        <v>45</v>
      </c>
      <c r="C215">
        <v>50</v>
      </c>
      <c r="D215" t="s">
        <v>184</v>
      </c>
    </row>
    <row r="216" spans="1:4" x14ac:dyDescent="0.2">
      <c r="A216">
        <v>50997</v>
      </c>
      <c r="B216" t="s">
        <v>46</v>
      </c>
      <c r="C216">
        <v>50</v>
      </c>
      <c r="D216" t="s">
        <v>184</v>
      </c>
    </row>
    <row r="217" spans="1:4" x14ac:dyDescent="0.2">
      <c r="A217">
        <v>52001</v>
      </c>
      <c r="B217" t="s">
        <v>193</v>
      </c>
      <c r="C217">
        <v>52</v>
      </c>
      <c r="D217" t="s">
        <v>194</v>
      </c>
    </row>
    <row r="218" spans="1:4" x14ac:dyDescent="0.2">
      <c r="A218">
        <v>52036</v>
      </c>
      <c r="B218" t="s">
        <v>195</v>
      </c>
      <c r="C218">
        <v>52</v>
      </c>
      <c r="D218" t="s">
        <v>194</v>
      </c>
    </row>
    <row r="219" spans="1:4" x14ac:dyDescent="0.2">
      <c r="A219">
        <v>52260</v>
      </c>
      <c r="B219" t="s">
        <v>97</v>
      </c>
      <c r="C219">
        <v>52</v>
      </c>
      <c r="D219" t="s">
        <v>194</v>
      </c>
    </row>
    <row r="220" spans="1:4" x14ac:dyDescent="0.2">
      <c r="A220">
        <v>52356</v>
      </c>
      <c r="B220" t="s">
        <v>196</v>
      </c>
      <c r="C220">
        <v>52</v>
      </c>
      <c r="D220" t="s">
        <v>194</v>
      </c>
    </row>
    <row r="221" spans="1:4" x14ac:dyDescent="0.2">
      <c r="A221">
        <v>52378</v>
      </c>
      <c r="B221" t="s">
        <v>197</v>
      </c>
      <c r="C221">
        <v>52</v>
      </c>
      <c r="D221" t="s">
        <v>194</v>
      </c>
    </row>
    <row r="222" spans="1:4" x14ac:dyDescent="0.2">
      <c r="A222">
        <v>52399</v>
      </c>
      <c r="B222" t="s">
        <v>198</v>
      </c>
      <c r="C222">
        <v>52</v>
      </c>
      <c r="D222" t="s">
        <v>194</v>
      </c>
    </row>
    <row r="223" spans="1:4" x14ac:dyDescent="0.2">
      <c r="A223">
        <v>52411</v>
      </c>
      <c r="B223" t="s">
        <v>199</v>
      </c>
      <c r="C223">
        <v>52</v>
      </c>
      <c r="D223" t="s">
        <v>194</v>
      </c>
    </row>
    <row r="224" spans="1:4" x14ac:dyDescent="0.2">
      <c r="A224">
        <v>52585</v>
      </c>
      <c r="B224" t="s">
        <v>200</v>
      </c>
      <c r="C224">
        <v>52</v>
      </c>
      <c r="D224" t="s">
        <v>194</v>
      </c>
    </row>
    <row r="225" spans="1:4" x14ac:dyDescent="0.2">
      <c r="A225">
        <v>52693</v>
      </c>
      <c r="B225" t="s">
        <v>201</v>
      </c>
      <c r="C225">
        <v>52</v>
      </c>
      <c r="D225" t="s">
        <v>194</v>
      </c>
    </row>
    <row r="226" spans="1:4" x14ac:dyDescent="0.2">
      <c r="A226">
        <v>52835</v>
      </c>
      <c r="B226" t="s">
        <v>202</v>
      </c>
      <c r="C226">
        <v>52</v>
      </c>
      <c r="D226" t="s">
        <v>194</v>
      </c>
    </row>
    <row r="227" spans="1:4" x14ac:dyDescent="0.2">
      <c r="A227">
        <v>52995</v>
      </c>
      <c r="B227" t="s">
        <v>44</v>
      </c>
      <c r="C227">
        <v>52</v>
      </c>
      <c r="D227" t="s">
        <v>194</v>
      </c>
    </row>
    <row r="228" spans="1:4" x14ac:dyDescent="0.2">
      <c r="A228">
        <v>52996</v>
      </c>
      <c r="B228" t="s">
        <v>45</v>
      </c>
      <c r="C228">
        <v>52</v>
      </c>
      <c r="D228" t="s">
        <v>194</v>
      </c>
    </row>
    <row r="229" spans="1:4" x14ac:dyDescent="0.2">
      <c r="A229">
        <v>52997</v>
      </c>
      <c r="B229" t="s">
        <v>46</v>
      </c>
      <c r="C229">
        <v>52</v>
      </c>
      <c r="D229" t="s">
        <v>194</v>
      </c>
    </row>
    <row r="230" spans="1:4" x14ac:dyDescent="0.2">
      <c r="A230">
        <v>52998</v>
      </c>
      <c r="B230" t="s">
        <v>62</v>
      </c>
      <c r="C230">
        <v>52</v>
      </c>
      <c r="D230" t="s">
        <v>194</v>
      </c>
    </row>
    <row r="231" spans="1:4" x14ac:dyDescent="0.2">
      <c r="A231">
        <v>52999</v>
      </c>
      <c r="B231" t="s">
        <v>203</v>
      </c>
      <c r="C231">
        <v>52</v>
      </c>
      <c r="D231" t="s">
        <v>194</v>
      </c>
    </row>
    <row r="232" spans="1:4" x14ac:dyDescent="0.2">
      <c r="A232">
        <v>54001</v>
      </c>
      <c r="B232" t="s">
        <v>204</v>
      </c>
      <c r="C232">
        <v>54</v>
      </c>
      <c r="D232" t="s">
        <v>205</v>
      </c>
    </row>
    <row r="233" spans="1:4" x14ac:dyDescent="0.2">
      <c r="A233">
        <v>54128</v>
      </c>
      <c r="B233" t="s">
        <v>206</v>
      </c>
      <c r="C233">
        <v>54</v>
      </c>
      <c r="D233" t="s">
        <v>205</v>
      </c>
    </row>
    <row r="234" spans="1:4" x14ac:dyDescent="0.2">
      <c r="A234">
        <v>54172</v>
      </c>
      <c r="B234" t="s">
        <v>207</v>
      </c>
      <c r="C234">
        <v>54</v>
      </c>
      <c r="D234" t="s">
        <v>205</v>
      </c>
    </row>
    <row r="235" spans="1:4" x14ac:dyDescent="0.2">
      <c r="A235">
        <v>54174</v>
      </c>
      <c r="B235" t="s">
        <v>208</v>
      </c>
      <c r="C235">
        <v>54</v>
      </c>
      <c r="D235" t="s">
        <v>205</v>
      </c>
    </row>
    <row r="236" spans="1:4" x14ac:dyDescent="0.2">
      <c r="A236">
        <v>54223</v>
      </c>
      <c r="B236" t="s">
        <v>209</v>
      </c>
      <c r="C236">
        <v>54</v>
      </c>
      <c r="D236" t="s">
        <v>205</v>
      </c>
    </row>
    <row r="237" spans="1:4" x14ac:dyDescent="0.2">
      <c r="A237">
        <v>54261</v>
      </c>
      <c r="B237" t="s">
        <v>210</v>
      </c>
      <c r="C237">
        <v>54</v>
      </c>
      <c r="D237" t="s">
        <v>205</v>
      </c>
    </row>
    <row r="238" spans="1:4" x14ac:dyDescent="0.2">
      <c r="A238">
        <v>54313</v>
      </c>
      <c r="B238" t="s">
        <v>211</v>
      </c>
      <c r="C238">
        <v>54</v>
      </c>
      <c r="D238" t="s">
        <v>205</v>
      </c>
    </row>
    <row r="239" spans="1:4" x14ac:dyDescent="0.2">
      <c r="A239">
        <v>54498</v>
      </c>
      <c r="B239" t="s">
        <v>212</v>
      </c>
      <c r="C239">
        <v>54</v>
      </c>
      <c r="D239" t="s">
        <v>205</v>
      </c>
    </row>
    <row r="240" spans="1:4" x14ac:dyDescent="0.2">
      <c r="A240">
        <v>54518</v>
      </c>
      <c r="B240" t="s">
        <v>213</v>
      </c>
      <c r="C240">
        <v>54</v>
      </c>
      <c r="D240" t="s">
        <v>205</v>
      </c>
    </row>
    <row r="241" spans="1:4" x14ac:dyDescent="0.2">
      <c r="A241">
        <v>54820</v>
      </c>
      <c r="B241" t="s">
        <v>214</v>
      </c>
      <c r="C241">
        <v>54</v>
      </c>
      <c r="D241" t="s">
        <v>205</v>
      </c>
    </row>
    <row r="242" spans="1:4" x14ac:dyDescent="0.2">
      <c r="A242">
        <v>54995</v>
      </c>
      <c r="B242" t="s">
        <v>44</v>
      </c>
      <c r="C242">
        <v>54</v>
      </c>
      <c r="D242" t="s">
        <v>205</v>
      </c>
    </row>
    <row r="243" spans="1:4" x14ac:dyDescent="0.2">
      <c r="A243">
        <v>54996</v>
      </c>
      <c r="B243" t="s">
        <v>45</v>
      </c>
      <c r="C243">
        <v>54</v>
      </c>
      <c r="D243" t="s">
        <v>205</v>
      </c>
    </row>
    <row r="244" spans="1:4" x14ac:dyDescent="0.2">
      <c r="A244">
        <v>54997</v>
      </c>
      <c r="B244" t="s">
        <v>46</v>
      </c>
      <c r="C244">
        <v>54</v>
      </c>
      <c r="D244" t="s">
        <v>205</v>
      </c>
    </row>
    <row r="245" spans="1:4" x14ac:dyDescent="0.2">
      <c r="A245">
        <v>63001</v>
      </c>
      <c r="B245" t="s">
        <v>215</v>
      </c>
      <c r="C245">
        <v>63</v>
      </c>
      <c r="D245" t="s">
        <v>216</v>
      </c>
    </row>
    <row r="246" spans="1:4" x14ac:dyDescent="0.2">
      <c r="A246">
        <v>63130</v>
      </c>
      <c r="B246" t="s">
        <v>217</v>
      </c>
      <c r="C246">
        <v>63</v>
      </c>
      <c r="D246" t="s">
        <v>216</v>
      </c>
    </row>
    <row r="247" spans="1:4" x14ac:dyDescent="0.2">
      <c r="A247">
        <v>63190</v>
      </c>
      <c r="B247" t="s">
        <v>218</v>
      </c>
      <c r="C247">
        <v>63</v>
      </c>
      <c r="D247" t="s">
        <v>216</v>
      </c>
    </row>
    <row r="248" spans="1:4" x14ac:dyDescent="0.2">
      <c r="A248">
        <v>63212</v>
      </c>
      <c r="B248" t="s">
        <v>219</v>
      </c>
      <c r="C248">
        <v>63</v>
      </c>
      <c r="D248" t="s">
        <v>216</v>
      </c>
    </row>
    <row r="249" spans="1:4" x14ac:dyDescent="0.2">
      <c r="A249">
        <v>63272</v>
      </c>
      <c r="B249" t="s">
        <v>220</v>
      </c>
      <c r="C249">
        <v>63</v>
      </c>
      <c r="D249" t="s">
        <v>216</v>
      </c>
    </row>
    <row r="250" spans="1:4" x14ac:dyDescent="0.2">
      <c r="A250">
        <v>63302</v>
      </c>
      <c r="B250" t="s">
        <v>221</v>
      </c>
      <c r="C250">
        <v>63</v>
      </c>
      <c r="D250" t="s">
        <v>216</v>
      </c>
    </row>
    <row r="251" spans="1:4" x14ac:dyDescent="0.2">
      <c r="A251">
        <v>63401</v>
      </c>
      <c r="B251" t="s">
        <v>222</v>
      </c>
      <c r="C251">
        <v>63</v>
      </c>
      <c r="D251" t="s">
        <v>216</v>
      </c>
    </row>
    <row r="252" spans="1:4" x14ac:dyDescent="0.2">
      <c r="A252">
        <v>63470</v>
      </c>
      <c r="B252" t="s">
        <v>223</v>
      </c>
      <c r="C252">
        <v>63</v>
      </c>
      <c r="D252" t="s">
        <v>216</v>
      </c>
    </row>
    <row r="253" spans="1:4" x14ac:dyDescent="0.2">
      <c r="A253">
        <v>63594</v>
      </c>
      <c r="B253" t="s">
        <v>224</v>
      </c>
      <c r="C253">
        <v>63</v>
      </c>
      <c r="D253" t="s">
        <v>216</v>
      </c>
    </row>
    <row r="254" spans="1:4" x14ac:dyDescent="0.2">
      <c r="A254">
        <v>63690</v>
      </c>
      <c r="B254" t="s">
        <v>225</v>
      </c>
      <c r="C254">
        <v>63</v>
      </c>
      <c r="D254" t="s">
        <v>216</v>
      </c>
    </row>
    <row r="255" spans="1:4" x14ac:dyDescent="0.2">
      <c r="A255">
        <v>63995</v>
      </c>
      <c r="B255" t="s">
        <v>44</v>
      </c>
      <c r="C255">
        <v>63</v>
      </c>
      <c r="D255" t="s">
        <v>216</v>
      </c>
    </row>
    <row r="256" spans="1:4" x14ac:dyDescent="0.2">
      <c r="A256">
        <v>63996</v>
      </c>
      <c r="B256" t="s">
        <v>45</v>
      </c>
      <c r="C256">
        <v>63</v>
      </c>
      <c r="D256" t="s">
        <v>216</v>
      </c>
    </row>
    <row r="257" spans="1:4" x14ac:dyDescent="0.2">
      <c r="A257">
        <v>66001</v>
      </c>
      <c r="B257" t="s">
        <v>226</v>
      </c>
      <c r="C257">
        <v>66</v>
      </c>
      <c r="D257" t="s">
        <v>227</v>
      </c>
    </row>
    <row r="258" spans="1:4" x14ac:dyDescent="0.2">
      <c r="A258">
        <v>66045</v>
      </c>
      <c r="B258" t="s">
        <v>228</v>
      </c>
      <c r="C258">
        <v>66</v>
      </c>
      <c r="D258" t="s">
        <v>227</v>
      </c>
    </row>
    <row r="259" spans="1:4" x14ac:dyDescent="0.2">
      <c r="A259">
        <v>66075</v>
      </c>
      <c r="B259" t="s">
        <v>229</v>
      </c>
      <c r="C259">
        <v>66</v>
      </c>
      <c r="D259" t="s">
        <v>227</v>
      </c>
    </row>
    <row r="260" spans="1:4" x14ac:dyDescent="0.2">
      <c r="A260">
        <v>66170</v>
      </c>
      <c r="B260" t="s">
        <v>230</v>
      </c>
      <c r="C260">
        <v>66</v>
      </c>
      <c r="D260" t="s">
        <v>227</v>
      </c>
    </row>
    <row r="261" spans="1:4" x14ac:dyDescent="0.2">
      <c r="A261">
        <v>66318</v>
      </c>
      <c r="B261" t="s">
        <v>231</v>
      </c>
      <c r="C261">
        <v>66</v>
      </c>
      <c r="D261" t="s">
        <v>227</v>
      </c>
    </row>
    <row r="262" spans="1:4" x14ac:dyDescent="0.2">
      <c r="A262">
        <v>66383</v>
      </c>
      <c r="B262" t="s">
        <v>232</v>
      </c>
      <c r="C262">
        <v>66</v>
      </c>
      <c r="D262" t="s">
        <v>227</v>
      </c>
    </row>
    <row r="263" spans="1:4" x14ac:dyDescent="0.2">
      <c r="A263">
        <v>66400</v>
      </c>
      <c r="B263" t="s">
        <v>233</v>
      </c>
      <c r="C263">
        <v>66</v>
      </c>
      <c r="D263" t="s">
        <v>227</v>
      </c>
    </row>
    <row r="264" spans="1:4" x14ac:dyDescent="0.2">
      <c r="A264">
        <v>66440</v>
      </c>
      <c r="B264" t="s">
        <v>234</v>
      </c>
      <c r="C264">
        <v>66</v>
      </c>
      <c r="D264" t="s">
        <v>227</v>
      </c>
    </row>
    <row r="265" spans="1:4" x14ac:dyDescent="0.2">
      <c r="A265">
        <v>66456</v>
      </c>
      <c r="B265" t="s">
        <v>235</v>
      </c>
      <c r="C265">
        <v>66</v>
      </c>
      <c r="D265" t="s">
        <v>227</v>
      </c>
    </row>
    <row r="266" spans="1:4" x14ac:dyDescent="0.2">
      <c r="A266">
        <v>66594</v>
      </c>
      <c r="B266" t="s">
        <v>236</v>
      </c>
      <c r="C266">
        <v>66</v>
      </c>
      <c r="D266" t="s">
        <v>227</v>
      </c>
    </row>
    <row r="267" spans="1:4" x14ac:dyDescent="0.2">
      <c r="A267">
        <v>66682</v>
      </c>
      <c r="B267" t="s">
        <v>237</v>
      </c>
      <c r="C267">
        <v>66</v>
      </c>
      <c r="D267" t="s">
        <v>227</v>
      </c>
    </row>
    <row r="268" spans="1:4" x14ac:dyDescent="0.2">
      <c r="A268">
        <v>66995</v>
      </c>
      <c r="B268" t="s">
        <v>44</v>
      </c>
      <c r="C268">
        <v>66</v>
      </c>
      <c r="D268" t="s">
        <v>227</v>
      </c>
    </row>
    <row r="269" spans="1:4" x14ac:dyDescent="0.2">
      <c r="A269">
        <v>66996</v>
      </c>
      <c r="B269" t="s">
        <v>45</v>
      </c>
      <c r="C269">
        <v>66</v>
      </c>
      <c r="D269" t="s">
        <v>227</v>
      </c>
    </row>
    <row r="270" spans="1:4" x14ac:dyDescent="0.2">
      <c r="A270">
        <v>66997</v>
      </c>
      <c r="B270" t="s">
        <v>46</v>
      </c>
      <c r="C270">
        <v>66</v>
      </c>
      <c r="D270" t="s">
        <v>227</v>
      </c>
    </row>
    <row r="271" spans="1:4" x14ac:dyDescent="0.2">
      <c r="A271">
        <v>68001</v>
      </c>
      <c r="B271" t="s">
        <v>238</v>
      </c>
      <c r="C271">
        <v>68</v>
      </c>
      <c r="D271" t="s">
        <v>239</v>
      </c>
    </row>
    <row r="272" spans="1:4" x14ac:dyDescent="0.2">
      <c r="A272">
        <v>68077</v>
      </c>
      <c r="B272" t="s">
        <v>10</v>
      </c>
      <c r="C272">
        <v>68</v>
      </c>
      <c r="D272" t="s">
        <v>239</v>
      </c>
    </row>
    <row r="273" spans="1:4" x14ac:dyDescent="0.2">
      <c r="A273">
        <v>68081</v>
      </c>
      <c r="B273" t="s">
        <v>240</v>
      </c>
      <c r="C273">
        <v>68</v>
      </c>
      <c r="D273" t="s">
        <v>239</v>
      </c>
    </row>
    <row r="274" spans="1:4" x14ac:dyDescent="0.2">
      <c r="A274">
        <v>68167</v>
      </c>
      <c r="B274" t="s">
        <v>241</v>
      </c>
      <c r="C274">
        <v>68</v>
      </c>
      <c r="D274" t="s">
        <v>239</v>
      </c>
    </row>
    <row r="275" spans="1:4" x14ac:dyDescent="0.2">
      <c r="A275">
        <v>68255</v>
      </c>
      <c r="B275" t="s">
        <v>242</v>
      </c>
      <c r="C275">
        <v>68</v>
      </c>
      <c r="D275" t="s">
        <v>239</v>
      </c>
    </row>
    <row r="276" spans="1:4" x14ac:dyDescent="0.2">
      <c r="A276">
        <v>68307</v>
      </c>
      <c r="B276" t="s">
        <v>243</v>
      </c>
      <c r="C276">
        <v>68</v>
      </c>
      <c r="D276" t="s">
        <v>239</v>
      </c>
    </row>
    <row r="277" spans="1:4" x14ac:dyDescent="0.2">
      <c r="A277">
        <v>68406</v>
      </c>
      <c r="B277" t="s">
        <v>244</v>
      </c>
      <c r="C277">
        <v>68</v>
      </c>
      <c r="D277" t="s">
        <v>239</v>
      </c>
    </row>
    <row r="278" spans="1:4" x14ac:dyDescent="0.2">
      <c r="A278">
        <v>68432</v>
      </c>
      <c r="B278" t="s">
        <v>245</v>
      </c>
      <c r="C278">
        <v>68</v>
      </c>
      <c r="D278" t="s">
        <v>239</v>
      </c>
    </row>
    <row r="279" spans="1:4" x14ac:dyDescent="0.2">
      <c r="A279">
        <v>68547</v>
      </c>
      <c r="B279" t="s">
        <v>246</v>
      </c>
      <c r="C279">
        <v>68</v>
      </c>
      <c r="D279" t="s">
        <v>239</v>
      </c>
    </row>
    <row r="280" spans="1:4" x14ac:dyDescent="0.2">
      <c r="A280">
        <v>68655</v>
      </c>
      <c r="B280" t="s">
        <v>247</v>
      </c>
      <c r="C280">
        <v>68</v>
      </c>
      <c r="D280" t="s">
        <v>239</v>
      </c>
    </row>
    <row r="281" spans="1:4" x14ac:dyDescent="0.2">
      <c r="A281">
        <v>68679</v>
      </c>
      <c r="B281" t="s">
        <v>248</v>
      </c>
      <c r="C281">
        <v>68</v>
      </c>
      <c r="D281" t="s">
        <v>239</v>
      </c>
    </row>
    <row r="282" spans="1:4" x14ac:dyDescent="0.2">
      <c r="A282">
        <v>68689</v>
      </c>
      <c r="B282" t="s">
        <v>249</v>
      </c>
      <c r="C282">
        <v>68</v>
      </c>
      <c r="D282" t="s">
        <v>239</v>
      </c>
    </row>
    <row r="283" spans="1:4" x14ac:dyDescent="0.2">
      <c r="A283">
        <v>68770</v>
      </c>
      <c r="B283" t="s">
        <v>250</v>
      </c>
      <c r="C283">
        <v>68</v>
      </c>
      <c r="D283" t="s">
        <v>239</v>
      </c>
    </row>
    <row r="284" spans="1:4" x14ac:dyDescent="0.2">
      <c r="A284">
        <v>68861</v>
      </c>
      <c r="B284" t="s">
        <v>251</v>
      </c>
      <c r="C284">
        <v>68</v>
      </c>
      <c r="D284" t="s">
        <v>239</v>
      </c>
    </row>
    <row r="285" spans="1:4" x14ac:dyDescent="0.2">
      <c r="A285">
        <v>68895</v>
      </c>
      <c r="B285" t="s">
        <v>252</v>
      </c>
      <c r="C285">
        <v>68</v>
      </c>
      <c r="D285" t="s">
        <v>239</v>
      </c>
    </row>
    <row r="286" spans="1:4" x14ac:dyDescent="0.2">
      <c r="A286">
        <v>68995</v>
      </c>
      <c r="B286" t="s">
        <v>62</v>
      </c>
      <c r="C286">
        <v>68</v>
      </c>
      <c r="D286" t="s">
        <v>239</v>
      </c>
    </row>
    <row r="287" spans="1:4" x14ac:dyDescent="0.2">
      <c r="A287">
        <v>70001</v>
      </c>
      <c r="B287" t="s">
        <v>253</v>
      </c>
      <c r="C287">
        <v>70</v>
      </c>
      <c r="D287" t="s">
        <v>254</v>
      </c>
    </row>
    <row r="288" spans="1:4" x14ac:dyDescent="0.2">
      <c r="A288">
        <v>70215</v>
      </c>
      <c r="B288" t="s">
        <v>255</v>
      </c>
      <c r="C288">
        <v>70</v>
      </c>
      <c r="D288" t="s">
        <v>254</v>
      </c>
    </row>
    <row r="289" spans="1:4" x14ac:dyDescent="0.2">
      <c r="A289">
        <v>70235</v>
      </c>
      <c r="B289" t="s">
        <v>256</v>
      </c>
      <c r="C289">
        <v>70</v>
      </c>
      <c r="D289" t="s">
        <v>254</v>
      </c>
    </row>
    <row r="290" spans="1:4" x14ac:dyDescent="0.2">
      <c r="A290">
        <v>70418</v>
      </c>
      <c r="B290" t="s">
        <v>257</v>
      </c>
      <c r="C290">
        <v>70</v>
      </c>
      <c r="D290" t="s">
        <v>254</v>
      </c>
    </row>
    <row r="291" spans="1:4" x14ac:dyDescent="0.2">
      <c r="A291">
        <v>70508</v>
      </c>
      <c r="B291" t="s">
        <v>258</v>
      </c>
      <c r="C291">
        <v>70</v>
      </c>
      <c r="D291" t="s">
        <v>254</v>
      </c>
    </row>
    <row r="292" spans="1:4" x14ac:dyDescent="0.2">
      <c r="A292">
        <v>70670</v>
      </c>
      <c r="B292" t="s">
        <v>259</v>
      </c>
      <c r="C292">
        <v>70</v>
      </c>
      <c r="D292" t="s">
        <v>254</v>
      </c>
    </row>
    <row r="293" spans="1:4" x14ac:dyDescent="0.2">
      <c r="A293">
        <v>70708</v>
      </c>
      <c r="B293" t="s">
        <v>260</v>
      </c>
      <c r="C293">
        <v>70</v>
      </c>
      <c r="D293" t="s">
        <v>254</v>
      </c>
    </row>
    <row r="294" spans="1:4" x14ac:dyDescent="0.2">
      <c r="A294">
        <v>70713</v>
      </c>
      <c r="B294" t="s">
        <v>261</v>
      </c>
      <c r="C294">
        <v>70</v>
      </c>
      <c r="D294" t="s">
        <v>254</v>
      </c>
    </row>
    <row r="295" spans="1:4" x14ac:dyDescent="0.2">
      <c r="A295">
        <v>70742</v>
      </c>
      <c r="B295" t="s">
        <v>262</v>
      </c>
      <c r="C295">
        <v>70</v>
      </c>
      <c r="D295" t="s">
        <v>254</v>
      </c>
    </row>
    <row r="296" spans="1:4" x14ac:dyDescent="0.2">
      <c r="A296">
        <v>70820</v>
      </c>
      <c r="B296" t="s">
        <v>263</v>
      </c>
      <c r="C296">
        <v>70</v>
      </c>
      <c r="D296" t="s">
        <v>254</v>
      </c>
    </row>
    <row r="297" spans="1:4" x14ac:dyDescent="0.2">
      <c r="A297">
        <v>70995</v>
      </c>
      <c r="B297" t="s">
        <v>44</v>
      </c>
      <c r="C297">
        <v>70</v>
      </c>
      <c r="D297" t="s">
        <v>254</v>
      </c>
    </row>
    <row r="298" spans="1:4" x14ac:dyDescent="0.2">
      <c r="A298">
        <v>70996</v>
      </c>
      <c r="B298" t="s">
        <v>45</v>
      </c>
      <c r="C298">
        <v>70</v>
      </c>
      <c r="D298" t="s">
        <v>254</v>
      </c>
    </row>
    <row r="299" spans="1:4" x14ac:dyDescent="0.2">
      <c r="A299">
        <v>70997</v>
      </c>
      <c r="B299" t="s">
        <v>46</v>
      </c>
      <c r="C299">
        <v>70</v>
      </c>
      <c r="D299" t="s">
        <v>254</v>
      </c>
    </row>
    <row r="300" spans="1:4" x14ac:dyDescent="0.2">
      <c r="A300">
        <v>73001</v>
      </c>
      <c r="B300" t="s">
        <v>264</v>
      </c>
      <c r="C300">
        <v>73</v>
      </c>
      <c r="D300" t="s">
        <v>265</v>
      </c>
    </row>
    <row r="301" spans="1:4" x14ac:dyDescent="0.2">
      <c r="A301">
        <v>73026</v>
      </c>
      <c r="B301" t="s">
        <v>266</v>
      </c>
      <c r="C301">
        <v>73</v>
      </c>
      <c r="D301" t="s">
        <v>265</v>
      </c>
    </row>
    <row r="302" spans="1:4" x14ac:dyDescent="0.2">
      <c r="A302">
        <v>73043</v>
      </c>
      <c r="B302" t="s">
        <v>267</v>
      </c>
      <c r="C302">
        <v>73</v>
      </c>
      <c r="D302" t="s">
        <v>265</v>
      </c>
    </row>
    <row r="303" spans="1:4" x14ac:dyDescent="0.2">
      <c r="A303">
        <v>73055</v>
      </c>
      <c r="B303" t="s">
        <v>268</v>
      </c>
      <c r="C303">
        <v>73</v>
      </c>
      <c r="D303" t="s">
        <v>265</v>
      </c>
    </row>
    <row r="304" spans="1:4" x14ac:dyDescent="0.2">
      <c r="A304">
        <v>73067</v>
      </c>
      <c r="B304" t="s">
        <v>269</v>
      </c>
      <c r="C304">
        <v>73</v>
      </c>
      <c r="D304" t="s">
        <v>265</v>
      </c>
    </row>
    <row r="305" spans="1:4" x14ac:dyDescent="0.2">
      <c r="A305">
        <v>73124</v>
      </c>
      <c r="B305" t="s">
        <v>270</v>
      </c>
      <c r="C305">
        <v>73</v>
      </c>
      <c r="D305" t="s">
        <v>265</v>
      </c>
    </row>
    <row r="306" spans="1:4" x14ac:dyDescent="0.2">
      <c r="A306">
        <v>73168</v>
      </c>
      <c r="B306" t="s">
        <v>271</v>
      </c>
      <c r="C306">
        <v>73</v>
      </c>
      <c r="D306" t="s">
        <v>265</v>
      </c>
    </row>
    <row r="307" spans="1:4" x14ac:dyDescent="0.2">
      <c r="A307">
        <v>73236</v>
      </c>
      <c r="B307" t="s">
        <v>272</v>
      </c>
      <c r="C307">
        <v>73</v>
      </c>
      <c r="D307" t="s">
        <v>265</v>
      </c>
    </row>
    <row r="308" spans="1:4" x14ac:dyDescent="0.2">
      <c r="A308">
        <v>73268</v>
      </c>
      <c r="B308" t="s">
        <v>273</v>
      </c>
      <c r="C308">
        <v>73</v>
      </c>
      <c r="D308" t="s">
        <v>265</v>
      </c>
    </row>
    <row r="309" spans="1:4" x14ac:dyDescent="0.2">
      <c r="A309">
        <v>73283</v>
      </c>
      <c r="B309" t="s">
        <v>274</v>
      </c>
      <c r="C309">
        <v>73</v>
      </c>
      <c r="D309" t="s">
        <v>265</v>
      </c>
    </row>
    <row r="310" spans="1:4" x14ac:dyDescent="0.2">
      <c r="A310">
        <v>73319</v>
      </c>
      <c r="B310" t="s">
        <v>275</v>
      </c>
      <c r="C310">
        <v>73</v>
      </c>
      <c r="D310" t="s">
        <v>265</v>
      </c>
    </row>
    <row r="311" spans="1:4" x14ac:dyDescent="0.2">
      <c r="A311">
        <v>73408</v>
      </c>
      <c r="B311" t="s">
        <v>276</v>
      </c>
      <c r="C311">
        <v>73</v>
      </c>
      <c r="D311" t="s">
        <v>265</v>
      </c>
    </row>
    <row r="312" spans="1:4" x14ac:dyDescent="0.2">
      <c r="A312">
        <v>73443</v>
      </c>
      <c r="B312" t="s">
        <v>277</v>
      </c>
      <c r="C312">
        <v>73</v>
      </c>
      <c r="D312" t="s">
        <v>265</v>
      </c>
    </row>
    <row r="313" spans="1:4" x14ac:dyDescent="0.2">
      <c r="A313">
        <v>73585</v>
      </c>
      <c r="B313" t="s">
        <v>278</v>
      </c>
      <c r="C313">
        <v>73</v>
      </c>
      <c r="D313" t="s">
        <v>265</v>
      </c>
    </row>
    <row r="314" spans="1:4" x14ac:dyDescent="0.2">
      <c r="A314">
        <v>76001</v>
      </c>
      <c r="B314" t="s">
        <v>279</v>
      </c>
      <c r="C314">
        <v>76</v>
      </c>
      <c r="D314" t="s">
        <v>280</v>
      </c>
    </row>
    <row r="315" spans="1:4" x14ac:dyDescent="0.2">
      <c r="A315">
        <v>76020</v>
      </c>
      <c r="B315" t="s">
        <v>281</v>
      </c>
      <c r="C315">
        <v>76</v>
      </c>
      <c r="D315" t="s">
        <v>280</v>
      </c>
    </row>
    <row r="316" spans="1:4" x14ac:dyDescent="0.2">
      <c r="A316">
        <v>76036</v>
      </c>
      <c r="B316" t="s">
        <v>282</v>
      </c>
      <c r="C316">
        <v>76</v>
      </c>
      <c r="D316" t="s">
        <v>280</v>
      </c>
    </row>
    <row r="317" spans="1:4" x14ac:dyDescent="0.2">
      <c r="A317">
        <v>76109</v>
      </c>
      <c r="B317" t="s">
        <v>283</v>
      </c>
      <c r="C317">
        <v>76</v>
      </c>
      <c r="D317" t="s">
        <v>280</v>
      </c>
    </row>
    <row r="318" spans="1:4" x14ac:dyDescent="0.2">
      <c r="A318">
        <v>76111</v>
      </c>
      <c r="B318" t="s">
        <v>284</v>
      </c>
      <c r="C318">
        <v>76</v>
      </c>
      <c r="D318" t="s">
        <v>280</v>
      </c>
    </row>
    <row r="319" spans="1:4" x14ac:dyDescent="0.2">
      <c r="A319">
        <v>76122</v>
      </c>
      <c r="B319" t="s">
        <v>285</v>
      </c>
      <c r="C319">
        <v>76</v>
      </c>
      <c r="D319" t="s">
        <v>280</v>
      </c>
    </row>
    <row r="320" spans="1:4" x14ac:dyDescent="0.2">
      <c r="A320">
        <v>76126</v>
      </c>
      <c r="B320" t="s">
        <v>286</v>
      </c>
      <c r="C320">
        <v>76</v>
      </c>
      <c r="D320" t="s">
        <v>280</v>
      </c>
    </row>
    <row r="321" spans="1:4" x14ac:dyDescent="0.2">
      <c r="A321">
        <v>76130</v>
      </c>
      <c r="B321" t="s">
        <v>287</v>
      </c>
      <c r="C321">
        <v>76</v>
      </c>
      <c r="D321" t="s">
        <v>280</v>
      </c>
    </row>
    <row r="322" spans="1:4" x14ac:dyDescent="0.2">
      <c r="A322">
        <v>76147</v>
      </c>
      <c r="B322" t="s">
        <v>288</v>
      </c>
      <c r="C322">
        <v>76</v>
      </c>
      <c r="D322" t="s">
        <v>280</v>
      </c>
    </row>
    <row r="323" spans="1:4" x14ac:dyDescent="0.2">
      <c r="A323">
        <v>76233</v>
      </c>
      <c r="B323" t="s">
        <v>289</v>
      </c>
      <c r="C323">
        <v>76</v>
      </c>
      <c r="D323" t="s">
        <v>280</v>
      </c>
    </row>
    <row r="324" spans="1:4" x14ac:dyDescent="0.2">
      <c r="A324">
        <v>76250</v>
      </c>
      <c r="B324" t="s">
        <v>290</v>
      </c>
      <c r="C324">
        <v>76</v>
      </c>
      <c r="D324" t="s">
        <v>280</v>
      </c>
    </row>
    <row r="325" spans="1:4" x14ac:dyDescent="0.2">
      <c r="A325">
        <v>76318</v>
      </c>
      <c r="B325" t="s">
        <v>291</v>
      </c>
      <c r="C325">
        <v>76</v>
      </c>
      <c r="D325" t="s">
        <v>280</v>
      </c>
    </row>
    <row r="326" spans="1:4" x14ac:dyDescent="0.2">
      <c r="A326">
        <v>76364</v>
      </c>
      <c r="B326" t="s">
        <v>292</v>
      </c>
      <c r="C326">
        <v>76</v>
      </c>
      <c r="D326" t="s">
        <v>280</v>
      </c>
    </row>
    <row r="327" spans="1:4" x14ac:dyDescent="0.2">
      <c r="A327">
        <v>76403</v>
      </c>
      <c r="B327" t="s">
        <v>293</v>
      </c>
      <c r="C327">
        <v>76</v>
      </c>
      <c r="D327" t="s">
        <v>280</v>
      </c>
    </row>
    <row r="328" spans="1:4" x14ac:dyDescent="0.2">
      <c r="A328">
        <v>76520</v>
      </c>
      <c r="B328" t="s">
        <v>294</v>
      </c>
      <c r="C328">
        <v>76</v>
      </c>
      <c r="D328" t="s">
        <v>280</v>
      </c>
    </row>
    <row r="329" spans="1:4" x14ac:dyDescent="0.2">
      <c r="A329">
        <v>76736</v>
      </c>
      <c r="B329" t="s">
        <v>295</v>
      </c>
      <c r="C329">
        <v>76</v>
      </c>
      <c r="D329" t="s">
        <v>280</v>
      </c>
    </row>
    <row r="330" spans="1:4" x14ac:dyDescent="0.2">
      <c r="A330">
        <v>76834</v>
      </c>
      <c r="B330" t="s">
        <v>296</v>
      </c>
      <c r="C330">
        <v>76</v>
      </c>
      <c r="D330" t="s">
        <v>280</v>
      </c>
    </row>
    <row r="331" spans="1:4" x14ac:dyDescent="0.2">
      <c r="A331">
        <v>76892</v>
      </c>
      <c r="B331" t="s">
        <v>297</v>
      </c>
      <c r="C331">
        <v>76</v>
      </c>
      <c r="D331" t="s">
        <v>280</v>
      </c>
    </row>
    <row r="332" spans="1:4" x14ac:dyDescent="0.2">
      <c r="A332">
        <v>81001</v>
      </c>
      <c r="B332" t="s">
        <v>298</v>
      </c>
      <c r="C332">
        <v>81</v>
      </c>
      <c r="D332" t="s">
        <v>299</v>
      </c>
    </row>
    <row r="333" spans="1:4" x14ac:dyDescent="0.2">
      <c r="A333">
        <v>81591</v>
      </c>
      <c r="B333" t="s">
        <v>300</v>
      </c>
      <c r="C333">
        <v>81</v>
      </c>
      <c r="D333" t="s">
        <v>299</v>
      </c>
    </row>
    <row r="334" spans="1:4" x14ac:dyDescent="0.2">
      <c r="A334">
        <v>81794</v>
      </c>
      <c r="B334" t="s">
        <v>301</v>
      </c>
      <c r="C334">
        <v>81</v>
      </c>
      <c r="D334" t="s">
        <v>299</v>
      </c>
    </row>
    <row r="335" spans="1:4" x14ac:dyDescent="0.2">
      <c r="A335">
        <v>81995</v>
      </c>
      <c r="B335" t="s">
        <v>44</v>
      </c>
      <c r="C335">
        <v>81</v>
      </c>
      <c r="D335" t="s">
        <v>299</v>
      </c>
    </row>
    <row r="336" spans="1:4" x14ac:dyDescent="0.2">
      <c r="A336">
        <v>81996</v>
      </c>
      <c r="B336" t="s">
        <v>45</v>
      </c>
      <c r="C336">
        <v>81</v>
      </c>
      <c r="D336" t="s">
        <v>299</v>
      </c>
    </row>
    <row r="337" spans="1:4" x14ac:dyDescent="0.2">
      <c r="A337">
        <v>81997</v>
      </c>
      <c r="B337" t="s">
        <v>46</v>
      </c>
      <c r="C337">
        <v>81</v>
      </c>
      <c r="D337" t="s">
        <v>299</v>
      </c>
    </row>
    <row r="338" spans="1:4" x14ac:dyDescent="0.2">
      <c r="A338">
        <v>85001</v>
      </c>
      <c r="B338" t="s">
        <v>302</v>
      </c>
      <c r="C338">
        <v>85</v>
      </c>
      <c r="D338" t="s">
        <v>303</v>
      </c>
    </row>
    <row r="339" spans="1:4" x14ac:dyDescent="0.2">
      <c r="A339">
        <v>85010</v>
      </c>
      <c r="B339" t="s">
        <v>304</v>
      </c>
      <c r="C339">
        <v>85</v>
      </c>
      <c r="D339" t="s">
        <v>303</v>
      </c>
    </row>
    <row r="340" spans="1:4" x14ac:dyDescent="0.2">
      <c r="A340">
        <v>85440</v>
      </c>
      <c r="B340" t="s">
        <v>305</v>
      </c>
      <c r="C340">
        <v>85</v>
      </c>
      <c r="D340" t="s">
        <v>303</v>
      </c>
    </row>
    <row r="341" spans="1:4" x14ac:dyDescent="0.2">
      <c r="A341">
        <v>85995</v>
      </c>
      <c r="B341" t="s">
        <v>44</v>
      </c>
      <c r="C341">
        <v>85</v>
      </c>
      <c r="D341" t="s">
        <v>303</v>
      </c>
    </row>
    <row r="342" spans="1:4" x14ac:dyDescent="0.2">
      <c r="A342">
        <v>85996</v>
      </c>
      <c r="B342" t="s">
        <v>45</v>
      </c>
      <c r="C342">
        <v>85</v>
      </c>
      <c r="D342" t="s">
        <v>303</v>
      </c>
    </row>
    <row r="343" spans="1:4" x14ac:dyDescent="0.2">
      <c r="A343">
        <v>86001</v>
      </c>
      <c r="B343" t="s">
        <v>306</v>
      </c>
      <c r="C343">
        <v>86</v>
      </c>
      <c r="D343" t="s">
        <v>307</v>
      </c>
    </row>
    <row r="344" spans="1:4" x14ac:dyDescent="0.2">
      <c r="A344">
        <v>86749</v>
      </c>
      <c r="B344" t="s">
        <v>308</v>
      </c>
      <c r="C344">
        <v>86</v>
      </c>
      <c r="D344" t="s">
        <v>307</v>
      </c>
    </row>
    <row r="345" spans="1:4" x14ac:dyDescent="0.2">
      <c r="A345">
        <v>86760</v>
      </c>
      <c r="B345" t="s">
        <v>309</v>
      </c>
      <c r="C345">
        <v>86</v>
      </c>
      <c r="D345" t="s">
        <v>307</v>
      </c>
    </row>
    <row r="346" spans="1:4" x14ac:dyDescent="0.2">
      <c r="A346">
        <v>86885</v>
      </c>
      <c r="B346" t="s">
        <v>310</v>
      </c>
      <c r="C346">
        <v>86</v>
      </c>
      <c r="D346" t="s">
        <v>307</v>
      </c>
    </row>
    <row r="347" spans="1:4" x14ac:dyDescent="0.2">
      <c r="A347">
        <v>86994</v>
      </c>
      <c r="B347" t="s">
        <v>44</v>
      </c>
      <c r="C347">
        <v>86</v>
      </c>
      <c r="D347" t="s">
        <v>307</v>
      </c>
    </row>
    <row r="348" spans="1:4" x14ac:dyDescent="0.2">
      <c r="A348">
        <v>86995</v>
      </c>
      <c r="B348" t="s">
        <v>45</v>
      </c>
      <c r="C348">
        <v>86</v>
      </c>
      <c r="D348" t="s">
        <v>307</v>
      </c>
    </row>
    <row r="349" spans="1:4" x14ac:dyDescent="0.2">
      <c r="A349">
        <v>86996</v>
      </c>
      <c r="B349" t="s">
        <v>46</v>
      </c>
      <c r="C349">
        <v>86</v>
      </c>
      <c r="D349" t="s">
        <v>307</v>
      </c>
    </row>
    <row r="350" spans="1:4" x14ac:dyDescent="0.2">
      <c r="A350">
        <v>86997</v>
      </c>
      <c r="B350" t="s">
        <v>62</v>
      </c>
      <c r="C350">
        <v>86</v>
      </c>
      <c r="D350" t="s">
        <v>307</v>
      </c>
    </row>
    <row r="351" spans="1:4" x14ac:dyDescent="0.2">
      <c r="A351">
        <v>86998</v>
      </c>
      <c r="B351" t="s">
        <v>203</v>
      </c>
      <c r="C351">
        <v>86</v>
      </c>
      <c r="D351" t="s">
        <v>307</v>
      </c>
    </row>
    <row r="352" spans="1:4" x14ac:dyDescent="0.2">
      <c r="A352">
        <v>86999</v>
      </c>
      <c r="B352" t="s">
        <v>146</v>
      </c>
      <c r="C352">
        <v>86</v>
      </c>
      <c r="D352" t="s">
        <v>307</v>
      </c>
    </row>
    <row r="353" spans="1:4" x14ac:dyDescent="0.2">
      <c r="A353">
        <v>88001</v>
      </c>
      <c r="B353" t="s">
        <v>311</v>
      </c>
      <c r="C353">
        <v>88</v>
      </c>
      <c r="D353" t="s">
        <v>312</v>
      </c>
    </row>
    <row r="354" spans="1:4" x14ac:dyDescent="0.2">
      <c r="A354">
        <v>88995</v>
      </c>
      <c r="B354" t="s">
        <v>44</v>
      </c>
      <c r="C354">
        <v>88</v>
      </c>
      <c r="D354" t="s">
        <v>312</v>
      </c>
    </row>
    <row r="355" spans="1:4" x14ac:dyDescent="0.2">
      <c r="A355">
        <v>91001</v>
      </c>
      <c r="B355" t="s">
        <v>313</v>
      </c>
      <c r="C355">
        <v>91</v>
      </c>
      <c r="D355" t="s">
        <v>314</v>
      </c>
    </row>
    <row r="356" spans="1:4" x14ac:dyDescent="0.2">
      <c r="A356">
        <v>91995</v>
      </c>
      <c r="B356" t="s">
        <v>44</v>
      </c>
      <c r="C356">
        <v>91</v>
      </c>
      <c r="D356" t="s">
        <v>314</v>
      </c>
    </row>
    <row r="357" spans="1:4" x14ac:dyDescent="0.2">
      <c r="A357">
        <v>95001</v>
      </c>
      <c r="B357" t="s">
        <v>315</v>
      </c>
      <c r="C357">
        <v>95</v>
      </c>
      <c r="D357" t="s">
        <v>316</v>
      </c>
    </row>
    <row r="358" spans="1:4" x14ac:dyDescent="0.2">
      <c r="A358">
        <v>95995</v>
      </c>
      <c r="B358" t="s">
        <v>44</v>
      </c>
      <c r="C358">
        <v>95</v>
      </c>
      <c r="D358" t="s">
        <v>316</v>
      </c>
    </row>
    <row r="359" spans="1:4" x14ac:dyDescent="0.2">
      <c r="A359">
        <v>99001</v>
      </c>
      <c r="B359" t="s">
        <v>317</v>
      </c>
      <c r="C359">
        <v>99</v>
      </c>
      <c r="D359" t="s">
        <v>318</v>
      </c>
    </row>
    <row r="360" spans="1:4" x14ac:dyDescent="0.2">
      <c r="A360">
        <v>99995</v>
      </c>
      <c r="B360" t="s">
        <v>44</v>
      </c>
      <c r="C360">
        <v>99</v>
      </c>
      <c r="D360" t="s">
        <v>318</v>
      </c>
    </row>
    <row r="361" spans="1:4" x14ac:dyDescent="0.2">
      <c r="A361">
        <v>200001</v>
      </c>
      <c r="B361" t="s">
        <v>319</v>
      </c>
      <c r="C361">
        <v>200</v>
      </c>
      <c r="D361" t="s">
        <v>319</v>
      </c>
    </row>
    <row r="362" spans="1:4" x14ac:dyDescent="0.2">
      <c r="A362">
        <v>210001</v>
      </c>
      <c r="B362" t="s">
        <v>320</v>
      </c>
      <c r="C362">
        <v>210</v>
      </c>
      <c r="D362" t="s">
        <v>321</v>
      </c>
    </row>
    <row r="363" spans="1:4" x14ac:dyDescent="0.2">
      <c r="A363">
        <v>210002</v>
      </c>
      <c r="B363" t="s">
        <v>322</v>
      </c>
      <c r="C363">
        <v>210</v>
      </c>
      <c r="D363" t="s">
        <v>321</v>
      </c>
    </row>
    <row r="364" spans="1:4" x14ac:dyDescent="0.2">
      <c r="A364">
        <v>220001</v>
      </c>
      <c r="B364" t="s">
        <v>323</v>
      </c>
      <c r="C364">
        <v>220</v>
      </c>
      <c r="D364" t="s">
        <v>324</v>
      </c>
    </row>
    <row r="365" spans="1:4" x14ac:dyDescent="0.2">
      <c r="A365">
        <v>222001</v>
      </c>
      <c r="B365" t="s">
        <v>325</v>
      </c>
      <c r="C365">
        <v>222</v>
      </c>
      <c r="D365" t="s">
        <v>326</v>
      </c>
    </row>
    <row r="366" spans="1:4" x14ac:dyDescent="0.2">
      <c r="A366">
        <v>224001</v>
      </c>
      <c r="B366" t="s">
        <v>327</v>
      </c>
      <c r="C366">
        <v>224</v>
      </c>
      <c r="D366" t="s">
        <v>326</v>
      </c>
    </row>
    <row r="367" spans="1:4" x14ac:dyDescent="0.2">
      <c r="A367">
        <v>230001</v>
      </c>
      <c r="B367" t="s">
        <v>328</v>
      </c>
      <c r="C367">
        <v>230</v>
      </c>
      <c r="D367" t="s">
        <v>329</v>
      </c>
    </row>
    <row r="368" spans="1:4" x14ac:dyDescent="0.2">
      <c r="A368">
        <v>240001</v>
      </c>
      <c r="B368" t="s">
        <v>330</v>
      </c>
      <c r="C368">
        <v>240</v>
      </c>
      <c r="D368" t="s">
        <v>331</v>
      </c>
    </row>
    <row r="369" spans="1:4" x14ac:dyDescent="0.2">
      <c r="A369">
        <v>250001</v>
      </c>
      <c r="B369" t="s">
        <v>309</v>
      </c>
      <c r="C369">
        <v>250</v>
      </c>
      <c r="D369" t="s">
        <v>309</v>
      </c>
    </row>
    <row r="370" spans="1:4" x14ac:dyDescent="0.2">
      <c r="A370">
        <v>300001</v>
      </c>
      <c r="B370" t="s">
        <v>332</v>
      </c>
      <c r="C370">
        <v>300</v>
      </c>
      <c r="D370" t="s">
        <v>333</v>
      </c>
    </row>
    <row r="371" spans="1:4" x14ac:dyDescent="0.2">
      <c r="A371">
        <v>302001</v>
      </c>
      <c r="B371" t="s">
        <v>334</v>
      </c>
      <c r="C371">
        <v>302</v>
      </c>
      <c r="D371" t="s">
        <v>326</v>
      </c>
    </row>
    <row r="372" spans="1:4" x14ac:dyDescent="0.2">
      <c r="A372">
        <v>304001</v>
      </c>
      <c r="B372" t="s">
        <v>335</v>
      </c>
      <c r="C372">
        <v>304</v>
      </c>
      <c r="D372" t="s">
        <v>326</v>
      </c>
    </row>
    <row r="373" spans="1:4" x14ac:dyDescent="0.2">
      <c r="A373">
        <v>306001</v>
      </c>
      <c r="B373" t="s">
        <v>336</v>
      </c>
      <c r="C373">
        <v>306</v>
      </c>
      <c r="D373" t="s">
        <v>326</v>
      </c>
    </row>
    <row r="374" spans="1:4" x14ac:dyDescent="0.2">
      <c r="A374">
        <v>310001</v>
      </c>
      <c r="B374" t="s">
        <v>337</v>
      </c>
      <c r="C374">
        <v>310</v>
      </c>
      <c r="D374" t="s">
        <v>338</v>
      </c>
    </row>
    <row r="375" spans="1:4" x14ac:dyDescent="0.2">
      <c r="A375">
        <v>320001</v>
      </c>
      <c r="B375" t="s">
        <v>339</v>
      </c>
      <c r="C375">
        <v>320</v>
      </c>
      <c r="D375" t="s">
        <v>339</v>
      </c>
    </row>
    <row r="376" spans="1:4" x14ac:dyDescent="0.2">
      <c r="A376">
        <v>330001</v>
      </c>
      <c r="B376" t="s">
        <v>340</v>
      </c>
      <c r="C376">
        <v>330</v>
      </c>
      <c r="D376" t="s">
        <v>190</v>
      </c>
    </row>
    <row r="377" spans="1:4" x14ac:dyDescent="0.2">
      <c r="A377">
        <v>340001</v>
      </c>
      <c r="B377" t="s">
        <v>341</v>
      </c>
      <c r="C377">
        <v>340</v>
      </c>
      <c r="D377" t="s">
        <v>342</v>
      </c>
    </row>
    <row r="378" spans="1:4" x14ac:dyDescent="0.2">
      <c r="A378">
        <v>350001</v>
      </c>
      <c r="B378" t="s">
        <v>343</v>
      </c>
      <c r="C378">
        <v>350</v>
      </c>
      <c r="D378" t="s">
        <v>326</v>
      </c>
    </row>
    <row r="379" spans="1:4" x14ac:dyDescent="0.2">
      <c r="A379">
        <v>500001</v>
      </c>
      <c r="B379" t="s">
        <v>344</v>
      </c>
      <c r="C379">
        <v>500</v>
      </c>
      <c r="D379" t="s">
        <v>345</v>
      </c>
    </row>
    <row r="380" spans="1:4" x14ac:dyDescent="0.2">
      <c r="A380">
        <v>500002</v>
      </c>
      <c r="B380" t="s">
        <v>346</v>
      </c>
      <c r="C380">
        <v>500</v>
      </c>
      <c r="D380" t="s">
        <v>345</v>
      </c>
    </row>
    <row r="381" spans="1:4" x14ac:dyDescent="0.2">
      <c r="A381">
        <v>500003</v>
      </c>
      <c r="B381" t="s">
        <v>347</v>
      </c>
      <c r="C381">
        <v>500</v>
      </c>
      <c r="D381" t="s">
        <v>345</v>
      </c>
    </row>
    <row r="382" spans="1:4" x14ac:dyDescent="0.2">
      <c r="A382">
        <v>510001</v>
      </c>
      <c r="B382" t="s">
        <v>348</v>
      </c>
      <c r="C382">
        <v>510</v>
      </c>
      <c r="D382" t="s">
        <v>349</v>
      </c>
    </row>
    <row r="383" spans="1:4" x14ac:dyDescent="0.2">
      <c r="A383">
        <v>510002</v>
      </c>
      <c r="B383" t="s">
        <v>350</v>
      </c>
      <c r="C383">
        <v>510</v>
      </c>
      <c r="D383" t="s">
        <v>349</v>
      </c>
    </row>
    <row r="384" spans="1:4" x14ac:dyDescent="0.2">
      <c r="A384">
        <v>700001</v>
      </c>
      <c r="B384" t="s">
        <v>351</v>
      </c>
      <c r="C384">
        <v>700</v>
      </c>
      <c r="D384" t="s">
        <v>352</v>
      </c>
    </row>
    <row r="385" spans="1:4" x14ac:dyDescent="0.2">
      <c r="A385">
        <v>710001</v>
      </c>
      <c r="B385" t="s">
        <v>353</v>
      </c>
      <c r="C385">
        <v>710</v>
      </c>
      <c r="D385" t="s">
        <v>354</v>
      </c>
    </row>
    <row r="386" spans="1:4" x14ac:dyDescent="0.2">
      <c r="A386">
        <v>720001</v>
      </c>
      <c r="B386" t="s">
        <v>355</v>
      </c>
      <c r="C386">
        <v>720</v>
      </c>
      <c r="D386" t="s">
        <v>356</v>
      </c>
    </row>
    <row r="387" spans="1:4" x14ac:dyDescent="0.2">
      <c r="A387">
        <v>730001</v>
      </c>
      <c r="B387" t="s">
        <v>357</v>
      </c>
      <c r="C387">
        <v>730</v>
      </c>
      <c r="D387" t="s">
        <v>358</v>
      </c>
    </row>
    <row r="388" spans="1:4" x14ac:dyDescent="0.2">
      <c r="A388">
        <v>730002</v>
      </c>
      <c r="B388" t="s">
        <v>359</v>
      </c>
      <c r="C388">
        <v>730</v>
      </c>
      <c r="D388" t="s">
        <v>358</v>
      </c>
    </row>
    <row r="389" spans="1:4" x14ac:dyDescent="0.2">
      <c r="A389">
        <v>740001</v>
      </c>
      <c r="B389" t="s">
        <v>360</v>
      </c>
      <c r="C389">
        <v>740</v>
      </c>
      <c r="D389" t="s">
        <v>360</v>
      </c>
    </row>
    <row r="390" spans="1:4" x14ac:dyDescent="0.2">
      <c r="A390">
        <v>750001</v>
      </c>
      <c r="B390" t="s">
        <v>361</v>
      </c>
      <c r="C390">
        <v>750</v>
      </c>
      <c r="D390" t="s">
        <v>362</v>
      </c>
    </row>
    <row r="391" spans="1:4" x14ac:dyDescent="0.2">
      <c r="A391">
        <v>800001</v>
      </c>
      <c r="B391" t="s">
        <v>363</v>
      </c>
      <c r="C391">
        <v>800</v>
      </c>
      <c r="D391" t="s">
        <v>364</v>
      </c>
    </row>
    <row r="392" spans="1:4" x14ac:dyDescent="0.2">
      <c r="A392">
        <v>810001</v>
      </c>
      <c r="B392" t="s">
        <v>365</v>
      </c>
      <c r="C392">
        <v>810</v>
      </c>
      <c r="D392" t="s">
        <v>366</v>
      </c>
    </row>
    <row r="393" spans="1:4" x14ac:dyDescent="0.2">
      <c r="A393">
        <v>820001</v>
      </c>
      <c r="B393" t="s">
        <v>367</v>
      </c>
      <c r="C393">
        <v>820</v>
      </c>
      <c r="D393" t="s">
        <v>368</v>
      </c>
    </row>
    <row r="394" spans="1:4" x14ac:dyDescent="0.2">
      <c r="A394">
        <v>900001</v>
      </c>
      <c r="B394" t="s">
        <v>369</v>
      </c>
      <c r="C394">
        <v>900</v>
      </c>
      <c r="D394" t="s">
        <v>370</v>
      </c>
    </row>
    <row r="395" spans="1:4" x14ac:dyDescent="0.2">
      <c r="A395">
        <v>999999</v>
      </c>
      <c r="B395" t="s">
        <v>371</v>
      </c>
      <c r="C395">
        <v>999</v>
      </c>
      <c r="D395" t="s">
        <v>326</v>
      </c>
    </row>
    <row r="396" spans="1:4" x14ac:dyDescent="0.2">
      <c r="A396">
        <v>94001</v>
      </c>
      <c r="B396" t="s">
        <v>372</v>
      </c>
      <c r="C396">
        <v>94</v>
      </c>
      <c r="D396" t="s">
        <v>373</v>
      </c>
    </row>
    <row r="397" spans="1:4" x14ac:dyDescent="0.2">
      <c r="A397">
        <v>97001</v>
      </c>
      <c r="B397" t="s">
        <v>374</v>
      </c>
      <c r="C397">
        <v>97</v>
      </c>
      <c r="D397" t="s">
        <v>375</v>
      </c>
    </row>
    <row r="398" spans="1:4" x14ac:dyDescent="0.2">
      <c r="A398">
        <v>5004</v>
      </c>
      <c r="B398" t="s">
        <v>376</v>
      </c>
      <c r="C398">
        <v>5</v>
      </c>
      <c r="D398" t="s">
        <v>5</v>
      </c>
    </row>
    <row r="399" spans="1:4" x14ac:dyDescent="0.2">
      <c r="A399">
        <v>5021</v>
      </c>
      <c r="B399" t="s">
        <v>377</v>
      </c>
      <c r="C399">
        <v>5</v>
      </c>
      <c r="D399" t="s">
        <v>5</v>
      </c>
    </row>
    <row r="400" spans="1:4" x14ac:dyDescent="0.2">
      <c r="A400">
        <v>5031</v>
      </c>
      <c r="B400" t="s">
        <v>378</v>
      </c>
      <c r="C400">
        <v>5</v>
      </c>
      <c r="D400" t="s">
        <v>5</v>
      </c>
    </row>
    <row r="401" spans="1:4" x14ac:dyDescent="0.2">
      <c r="A401">
        <v>5036</v>
      </c>
      <c r="B401" t="s">
        <v>379</v>
      </c>
      <c r="C401">
        <v>5</v>
      </c>
      <c r="D401" t="s">
        <v>5</v>
      </c>
    </row>
    <row r="402" spans="1:4" x14ac:dyDescent="0.2">
      <c r="A402">
        <v>5038</v>
      </c>
      <c r="B402" t="s">
        <v>380</v>
      </c>
      <c r="C402">
        <v>5</v>
      </c>
      <c r="D402" t="s">
        <v>5</v>
      </c>
    </row>
    <row r="403" spans="1:4" x14ac:dyDescent="0.2">
      <c r="A403">
        <v>5040</v>
      </c>
      <c r="B403" t="s">
        <v>381</v>
      </c>
      <c r="C403">
        <v>5</v>
      </c>
      <c r="D403" t="s">
        <v>5</v>
      </c>
    </row>
    <row r="404" spans="1:4" x14ac:dyDescent="0.2">
      <c r="A404">
        <v>5042</v>
      </c>
      <c r="B404" t="s">
        <v>5</v>
      </c>
      <c r="C404">
        <v>5</v>
      </c>
      <c r="D404" t="s">
        <v>5</v>
      </c>
    </row>
    <row r="405" spans="1:4" x14ac:dyDescent="0.2">
      <c r="A405">
        <v>5044</v>
      </c>
      <c r="B405" t="s">
        <v>382</v>
      </c>
      <c r="C405">
        <v>5</v>
      </c>
      <c r="D405" t="s">
        <v>5</v>
      </c>
    </row>
    <row r="406" spans="1:4" x14ac:dyDescent="0.2">
      <c r="A406">
        <v>5051</v>
      </c>
      <c r="B406" t="s">
        <v>383</v>
      </c>
      <c r="C406">
        <v>5</v>
      </c>
      <c r="D406" t="s">
        <v>5</v>
      </c>
    </row>
    <row r="407" spans="1:4" x14ac:dyDescent="0.2">
      <c r="A407">
        <v>5055</v>
      </c>
      <c r="B407" t="s">
        <v>384</v>
      </c>
      <c r="C407">
        <v>5</v>
      </c>
      <c r="D407" t="s">
        <v>5</v>
      </c>
    </row>
    <row r="408" spans="1:4" x14ac:dyDescent="0.2">
      <c r="A408">
        <v>5059</v>
      </c>
      <c r="B408" t="s">
        <v>385</v>
      </c>
      <c r="C408">
        <v>5</v>
      </c>
      <c r="D408" t="s">
        <v>5</v>
      </c>
    </row>
    <row r="409" spans="1:4" x14ac:dyDescent="0.2">
      <c r="A409">
        <v>5086</v>
      </c>
      <c r="B409" t="s">
        <v>386</v>
      </c>
      <c r="C409">
        <v>5</v>
      </c>
      <c r="D409" t="s">
        <v>5</v>
      </c>
    </row>
    <row r="410" spans="1:4" x14ac:dyDescent="0.2">
      <c r="A410">
        <v>5093</v>
      </c>
      <c r="B410" t="s">
        <v>387</v>
      </c>
      <c r="C410">
        <v>5</v>
      </c>
      <c r="D410" t="s">
        <v>5</v>
      </c>
    </row>
    <row r="411" spans="1:4" x14ac:dyDescent="0.2">
      <c r="A411">
        <v>5101</v>
      </c>
      <c r="B411" t="s">
        <v>50</v>
      </c>
      <c r="C411">
        <v>5</v>
      </c>
      <c r="D411" t="s">
        <v>5</v>
      </c>
    </row>
    <row r="412" spans="1:4" x14ac:dyDescent="0.2">
      <c r="A412">
        <v>5107</v>
      </c>
      <c r="B412" t="s">
        <v>388</v>
      </c>
      <c r="C412">
        <v>5</v>
      </c>
      <c r="D412" t="s">
        <v>5</v>
      </c>
    </row>
    <row r="413" spans="1:4" x14ac:dyDescent="0.2">
      <c r="A413">
        <v>5113</v>
      </c>
      <c r="B413" t="s">
        <v>389</v>
      </c>
      <c r="C413">
        <v>5</v>
      </c>
      <c r="D413" t="s">
        <v>5</v>
      </c>
    </row>
    <row r="414" spans="1:4" x14ac:dyDescent="0.2">
      <c r="A414">
        <v>5120</v>
      </c>
      <c r="B414" t="s">
        <v>390</v>
      </c>
      <c r="C414">
        <v>5</v>
      </c>
      <c r="D414" t="s">
        <v>5</v>
      </c>
    </row>
    <row r="415" spans="1:4" x14ac:dyDescent="0.2">
      <c r="A415">
        <v>5125</v>
      </c>
      <c r="B415" t="s">
        <v>391</v>
      </c>
      <c r="C415">
        <v>5</v>
      </c>
      <c r="D415" t="s">
        <v>5</v>
      </c>
    </row>
    <row r="416" spans="1:4" x14ac:dyDescent="0.2">
      <c r="A416">
        <v>5134</v>
      </c>
      <c r="B416" t="s">
        <v>392</v>
      </c>
      <c r="C416">
        <v>5</v>
      </c>
      <c r="D416" t="s">
        <v>5</v>
      </c>
    </row>
    <row r="417" spans="1:4" x14ac:dyDescent="0.2">
      <c r="A417">
        <v>5138</v>
      </c>
      <c r="B417" t="s">
        <v>393</v>
      </c>
      <c r="C417">
        <v>5</v>
      </c>
      <c r="D417" t="s">
        <v>5</v>
      </c>
    </row>
    <row r="418" spans="1:4" x14ac:dyDescent="0.2">
      <c r="A418">
        <v>5142</v>
      </c>
      <c r="B418" t="s">
        <v>394</v>
      </c>
      <c r="C418">
        <v>5</v>
      </c>
      <c r="D418" t="s">
        <v>5</v>
      </c>
    </row>
    <row r="419" spans="1:4" x14ac:dyDescent="0.2">
      <c r="A419">
        <v>5147</v>
      </c>
      <c r="B419" t="s">
        <v>395</v>
      </c>
      <c r="C419">
        <v>5</v>
      </c>
      <c r="D419" t="s">
        <v>5</v>
      </c>
    </row>
    <row r="420" spans="1:4" x14ac:dyDescent="0.2">
      <c r="A420">
        <v>5148</v>
      </c>
      <c r="B420" t="s">
        <v>396</v>
      </c>
      <c r="C420">
        <v>5</v>
      </c>
      <c r="D420" t="s">
        <v>5</v>
      </c>
    </row>
    <row r="421" spans="1:4" x14ac:dyDescent="0.2">
      <c r="A421">
        <v>5172</v>
      </c>
      <c r="B421" t="s">
        <v>397</v>
      </c>
      <c r="C421">
        <v>5</v>
      </c>
      <c r="D421" t="s">
        <v>5</v>
      </c>
    </row>
    <row r="422" spans="1:4" x14ac:dyDescent="0.2">
      <c r="A422">
        <v>5197</v>
      </c>
      <c r="B422" t="s">
        <v>398</v>
      </c>
      <c r="C422">
        <v>5</v>
      </c>
      <c r="D422" t="s">
        <v>5</v>
      </c>
    </row>
    <row r="423" spans="1:4" x14ac:dyDescent="0.2">
      <c r="A423">
        <v>5206</v>
      </c>
      <c r="B423" t="s">
        <v>399</v>
      </c>
      <c r="C423">
        <v>5</v>
      </c>
      <c r="D423" t="s">
        <v>5</v>
      </c>
    </row>
    <row r="424" spans="1:4" x14ac:dyDescent="0.2">
      <c r="A424">
        <v>5209</v>
      </c>
      <c r="B424" t="s">
        <v>400</v>
      </c>
      <c r="C424">
        <v>5</v>
      </c>
      <c r="D424" t="s">
        <v>5</v>
      </c>
    </row>
    <row r="425" spans="1:4" x14ac:dyDescent="0.2">
      <c r="A425">
        <v>5234</v>
      </c>
      <c r="B425" t="s">
        <v>401</v>
      </c>
      <c r="C425">
        <v>5</v>
      </c>
      <c r="D425" t="s">
        <v>5</v>
      </c>
    </row>
    <row r="426" spans="1:4" x14ac:dyDescent="0.2">
      <c r="A426">
        <v>5240</v>
      </c>
      <c r="B426" t="s">
        <v>402</v>
      </c>
      <c r="C426">
        <v>5</v>
      </c>
      <c r="D426" t="s">
        <v>5</v>
      </c>
    </row>
    <row r="427" spans="1:4" x14ac:dyDescent="0.2">
      <c r="A427">
        <v>5250</v>
      </c>
      <c r="B427" t="s">
        <v>403</v>
      </c>
      <c r="C427">
        <v>5</v>
      </c>
      <c r="D427" t="s">
        <v>5</v>
      </c>
    </row>
    <row r="428" spans="1:4" x14ac:dyDescent="0.2">
      <c r="A428">
        <v>5264</v>
      </c>
      <c r="B428" t="s">
        <v>404</v>
      </c>
      <c r="C428">
        <v>5</v>
      </c>
      <c r="D428" t="s">
        <v>5</v>
      </c>
    </row>
    <row r="429" spans="1:4" x14ac:dyDescent="0.2">
      <c r="A429">
        <v>5266</v>
      </c>
      <c r="B429" t="s">
        <v>405</v>
      </c>
      <c r="C429">
        <v>5</v>
      </c>
      <c r="D429" t="s">
        <v>5</v>
      </c>
    </row>
    <row r="430" spans="1:4" x14ac:dyDescent="0.2">
      <c r="A430">
        <v>5284</v>
      </c>
      <c r="B430" t="s">
        <v>406</v>
      </c>
      <c r="C430">
        <v>5</v>
      </c>
      <c r="D430" t="s">
        <v>5</v>
      </c>
    </row>
    <row r="431" spans="1:4" x14ac:dyDescent="0.2">
      <c r="A431">
        <v>5306</v>
      </c>
      <c r="B431" t="s">
        <v>407</v>
      </c>
      <c r="C431">
        <v>5</v>
      </c>
      <c r="D431" t="s">
        <v>5</v>
      </c>
    </row>
    <row r="432" spans="1:4" x14ac:dyDescent="0.2">
      <c r="A432">
        <v>5313</v>
      </c>
      <c r="B432" t="s">
        <v>408</v>
      </c>
      <c r="C432">
        <v>5</v>
      </c>
      <c r="D432" t="s">
        <v>5</v>
      </c>
    </row>
    <row r="433" spans="1:4" x14ac:dyDescent="0.2">
      <c r="A433">
        <v>5318</v>
      </c>
      <c r="B433" t="s">
        <v>409</v>
      </c>
      <c r="C433">
        <v>5</v>
      </c>
      <c r="D433" t="s">
        <v>5</v>
      </c>
    </row>
    <row r="434" spans="1:4" x14ac:dyDescent="0.2">
      <c r="A434">
        <v>5321</v>
      </c>
      <c r="B434" t="s">
        <v>410</v>
      </c>
      <c r="C434">
        <v>5</v>
      </c>
      <c r="D434" t="s">
        <v>5</v>
      </c>
    </row>
    <row r="435" spans="1:4" x14ac:dyDescent="0.2">
      <c r="A435">
        <v>5347</v>
      </c>
      <c r="B435" t="s">
        <v>411</v>
      </c>
      <c r="C435">
        <v>5</v>
      </c>
      <c r="D435" t="s">
        <v>5</v>
      </c>
    </row>
    <row r="436" spans="1:4" x14ac:dyDescent="0.2">
      <c r="A436">
        <v>5353</v>
      </c>
      <c r="B436" t="s">
        <v>412</v>
      </c>
      <c r="C436">
        <v>5</v>
      </c>
      <c r="D436" t="s">
        <v>5</v>
      </c>
    </row>
    <row r="437" spans="1:4" x14ac:dyDescent="0.2">
      <c r="A437">
        <v>5361</v>
      </c>
      <c r="B437" t="s">
        <v>413</v>
      </c>
      <c r="C437">
        <v>5</v>
      </c>
      <c r="D437" t="s">
        <v>5</v>
      </c>
    </row>
    <row r="438" spans="1:4" x14ac:dyDescent="0.2">
      <c r="A438">
        <v>5364</v>
      </c>
      <c r="B438" t="s">
        <v>414</v>
      </c>
      <c r="C438">
        <v>5</v>
      </c>
      <c r="D438" t="s">
        <v>5</v>
      </c>
    </row>
    <row r="439" spans="1:4" x14ac:dyDescent="0.2">
      <c r="A439">
        <v>5368</v>
      </c>
      <c r="B439" t="s">
        <v>415</v>
      </c>
      <c r="C439">
        <v>5</v>
      </c>
      <c r="D439" t="s">
        <v>5</v>
      </c>
    </row>
    <row r="440" spans="1:4" x14ac:dyDescent="0.2">
      <c r="A440">
        <v>5376</v>
      </c>
      <c r="B440" t="s">
        <v>416</v>
      </c>
      <c r="C440">
        <v>5</v>
      </c>
      <c r="D440" t="s">
        <v>5</v>
      </c>
    </row>
    <row r="441" spans="1:4" x14ac:dyDescent="0.2">
      <c r="A441">
        <v>5380</v>
      </c>
      <c r="B441" t="s">
        <v>417</v>
      </c>
      <c r="C441">
        <v>5</v>
      </c>
      <c r="D441" t="s">
        <v>5</v>
      </c>
    </row>
    <row r="442" spans="1:4" x14ac:dyDescent="0.2">
      <c r="A442">
        <v>5400</v>
      </c>
      <c r="B442" t="s">
        <v>418</v>
      </c>
      <c r="C442">
        <v>5</v>
      </c>
      <c r="D442" t="s">
        <v>5</v>
      </c>
    </row>
    <row r="443" spans="1:4" x14ac:dyDescent="0.2">
      <c r="A443">
        <v>5411</v>
      </c>
      <c r="B443" t="s">
        <v>419</v>
      </c>
      <c r="C443">
        <v>5</v>
      </c>
      <c r="D443" t="s">
        <v>5</v>
      </c>
    </row>
    <row r="444" spans="1:4" x14ac:dyDescent="0.2">
      <c r="A444">
        <v>5425</v>
      </c>
      <c r="B444" t="s">
        <v>420</v>
      </c>
      <c r="C444">
        <v>5</v>
      </c>
      <c r="D444" t="s">
        <v>5</v>
      </c>
    </row>
    <row r="445" spans="1:4" x14ac:dyDescent="0.2">
      <c r="A445">
        <v>5440</v>
      </c>
      <c r="B445" t="s">
        <v>421</v>
      </c>
      <c r="C445">
        <v>5</v>
      </c>
      <c r="D445" t="s">
        <v>5</v>
      </c>
    </row>
    <row r="446" spans="1:4" x14ac:dyDescent="0.2">
      <c r="A446">
        <v>5467</v>
      </c>
      <c r="B446" t="s">
        <v>422</v>
      </c>
      <c r="C446">
        <v>5</v>
      </c>
      <c r="D446" t="s">
        <v>5</v>
      </c>
    </row>
    <row r="447" spans="1:4" x14ac:dyDescent="0.2">
      <c r="A447">
        <v>5475</v>
      </c>
      <c r="B447" t="s">
        <v>423</v>
      </c>
      <c r="C447">
        <v>5</v>
      </c>
      <c r="D447" t="s">
        <v>5</v>
      </c>
    </row>
    <row r="448" spans="1:4" x14ac:dyDescent="0.2">
      <c r="A448">
        <v>5480</v>
      </c>
      <c r="B448" t="s">
        <v>424</v>
      </c>
      <c r="C448">
        <v>5</v>
      </c>
      <c r="D448" t="s">
        <v>5</v>
      </c>
    </row>
    <row r="449" spans="1:4" x14ac:dyDescent="0.2">
      <c r="A449">
        <v>5483</v>
      </c>
      <c r="B449" t="s">
        <v>425</v>
      </c>
      <c r="C449">
        <v>5</v>
      </c>
      <c r="D449" t="s">
        <v>5</v>
      </c>
    </row>
    <row r="450" spans="1:4" x14ac:dyDescent="0.2">
      <c r="A450">
        <v>5490</v>
      </c>
      <c r="B450" t="s">
        <v>426</v>
      </c>
      <c r="C450">
        <v>5</v>
      </c>
      <c r="D450" t="s">
        <v>5</v>
      </c>
    </row>
    <row r="451" spans="1:4" x14ac:dyDescent="0.2">
      <c r="A451">
        <v>5495</v>
      </c>
      <c r="B451" t="s">
        <v>427</v>
      </c>
      <c r="C451">
        <v>5</v>
      </c>
      <c r="D451" t="s">
        <v>5</v>
      </c>
    </row>
    <row r="452" spans="1:4" x14ac:dyDescent="0.2">
      <c r="A452">
        <v>5501</v>
      </c>
      <c r="B452" t="s">
        <v>428</v>
      </c>
      <c r="C452">
        <v>5</v>
      </c>
      <c r="D452" t="s">
        <v>5</v>
      </c>
    </row>
    <row r="453" spans="1:4" x14ac:dyDescent="0.2">
      <c r="A453">
        <v>5541</v>
      </c>
      <c r="B453" t="s">
        <v>429</v>
      </c>
      <c r="C453">
        <v>5</v>
      </c>
      <c r="D453" t="s">
        <v>5</v>
      </c>
    </row>
    <row r="454" spans="1:4" x14ac:dyDescent="0.2">
      <c r="A454">
        <v>5543</v>
      </c>
      <c r="B454" t="s">
        <v>430</v>
      </c>
      <c r="C454">
        <v>5</v>
      </c>
      <c r="D454" t="s">
        <v>5</v>
      </c>
    </row>
    <row r="455" spans="1:4" x14ac:dyDescent="0.2">
      <c r="A455">
        <v>5576</v>
      </c>
      <c r="B455" t="s">
        <v>431</v>
      </c>
      <c r="C455">
        <v>5</v>
      </c>
      <c r="D455" t="s">
        <v>5</v>
      </c>
    </row>
    <row r="456" spans="1:4" x14ac:dyDescent="0.2">
      <c r="A456">
        <v>5585</v>
      </c>
      <c r="B456" t="s">
        <v>432</v>
      </c>
      <c r="C456">
        <v>5</v>
      </c>
      <c r="D456" t="s">
        <v>5</v>
      </c>
    </row>
    <row r="457" spans="1:4" x14ac:dyDescent="0.2">
      <c r="A457">
        <v>5604</v>
      </c>
      <c r="B457" t="s">
        <v>433</v>
      </c>
      <c r="C457">
        <v>5</v>
      </c>
      <c r="D457" t="s">
        <v>5</v>
      </c>
    </row>
    <row r="458" spans="1:4" x14ac:dyDescent="0.2">
      <c r="A458">
        <v>5607</v>
      </c>
      <c r="B458" t="s">
        <v>434</v>
      </c>
      <c r="C458">
        <v>5</v>
      </c>
      <c r="D458" t="s">
        <v>5</v>
      </c>
    </row>
    <row r="459" spans="1:4" x14ac:dyDescent="0.2">
      <c r="A459">
        <v>5628</v>
      </c>
      <c r="B459" t="s">
        <v>435</v>
      </c>
      <c r="C459">
        <v>5</v>
      </c>
      <c r="D459" t="s">
        <v>5</v>
      </c>
    </row>
    <row r="460" spans="1:4" x14ac:dyDescent="0.2">
      <c r="A460">
        <v>5631</v>
      </c>
      <c r="B460" t="s">
        <v>436</v>
      </c>
      <c r="C460">
        <v>5</v>
      </c>
      <c r="D460" t="s">
        <v>5</v>
      </c>
    </row>
    <row r="461" spans="1:4" x14ac:dyDescent="0.2">
      <c r="A461">
        <v>5642</v>
      </c>
      <c r="B461" t="s">
        <v>437</v>
      </c>
      <c r="C461">
        <v>5</v>
      </c>
      <c r="D461" t="s">
        <v>5</v>
      </c>
    </row>
    <row r="462" spans="1:4" x14ac:dyDescent="0.2">
      <c r="A462">
        <v>5647</v>
      </c>
      <c r="B462" t="s">
        <v>438</v>
      </c>
      <c r="C462">
        <v>5</v>
      </c>
      <c r="D462" t="s">
        <v>5</v>
      </c>
    </row>
    <row r="463" spans="1:4" x14ac:dyDescent="0.2">
      <c r="A463">
        <v>5649</v>
      </c>
      <c r="B463" t="s">
        <v>439</v>
      </c>
      <c r="C463">
        <v>5</v>
      </c>
      <c r="D463" t="s">
        <v>5</v>
      </c>
    </row>
    <row r="464" spans="1:4" x14ac:dyDescent="0.2">
      <c r="A464">
        <v>5652</v>
      </c>
      <c r="B464" t="s">
        <v>440</v>
      </c>
      <c r="C464">
        <v>5</v>
      </c>
      <c r="D464" t="s">
        <v>5</v>
      </c>
    </row>
    <row r="465" spans="1:4" x14ac:dyDescent="0.2">
      <c r="A465">
        <v>5656</v>
      </c>
      <c r="B465" t="s">
        <v>441</v>
      </c>
      <c r="C465">
        <v>5</v>
      </c>
      <c r="D465" t="s">
        <v>5</v>
      </c>
    </row>
    <row r="466" spans="1:4" x14ac:dyDescent="0.2">
      <c r="A466">
        <v>5658</v>
      </c>
      <c r="B466" t="s">
        <v>442</v>
      </c>
      <c r="C466">
        <v>5</v>
      </c>
      <c r="D466" t="s">
        <v>5</v>
      </c>
    </row>
    <row r="467" spans="1:4" x14ac:dyDescent="0.2">
      <c r="A467">
        <v>5659</v>
      </c>
      <c r="B467" t="s">
        <v>443</v>
      </c>
      <c r="C467">
        <v>5</v>
      </c>
      <c r="D467" t="s">
        <v>5</v>
      </c>
    </row>
    <row r="468" spans="1:4" x14ac:dyDescent="0.2">
      <c r="A468">
        <v>5660</v>
      </c>
      <c r="B468" t="s">
        <v>444</v>
      </c>
      <c r="C468">
        <v>5</v>
      </c>
      <c r="D468" t="s">
        <v>5</v>
      </c>
    </row>
    <row r="469" spans="1:4" x14ac:dyDescent="0.2">
      <c r="A469">
        <v>5664</v>
      </c>
      <c r="B469" t="s">
        <v>445</v>
      </c>
      <c r="C469">
        <v>5</v>
      </c>
      <c r="D469" t="s">
        <v>5</v>
      </c>
    </row>
    <row r="470" spans="1:4" x14ac:dyDescent="0.2">
      <c r="A470">
        <v>5665</v>
      </c>
      <c r="B470" t="s">
        <v>446</v>
      </c>
      <c r="C470">
        <v>5</v>
      </c>
      <c r="D470" t="s">
        <v>5</v>
      </c>
    </row>
    <row r="471" spans="1:4" x14ac:dyDescent="0.2">
      <c r="A471">
        <v>5667</v>
      </c>
      <c r="B471" t="s">
        <v>447</v>
      </c>
      <c r="C471">
        <v>5</v>
      </c>
      <c r="D471" t="s">
        <v>5</v>
      </c>
    </row>
    <row r="472" spans="1:4" x14ac:dyDescent="0.2">
      <c r="A472">
        <v>5670</v>
      </c>
      <c r="B472" t="s">
        <v>448</v>
      </c>
      <c r="C472">
        <v>5</v>
      </c>
      <c r="D472" t="s">
        <v>5</v>
      </c>
    </row>
    <row r="473" spans="1:4" x14ac:dyDescent="0.2">
      <c r="A473">
        <v>5674</v>
      </c>
      <c r="B473" t="s">
        <v>449</v>
      </c>
      <c r="C473">
        <v>5</v>
      </c>
      <c r="D473" t="s">
        <v>5</v>
      </c>
    </row>
    <row r="474" spans="1:4" x14ac:dyDescent="0.2">
      <c r="A474">
        <v>5679</v>
      </c>
      <c r="B474" t="s">
        <v>450</v>
      </c>
      <c r="C474">
        <v>5</v>
      </c>
      <c r="D474" t="s">
        <v>5</v>
      </c>
    </row>
    <row r="475" spans="1:4" x14ac:dyDescent="0.2">
      <c r="A475">
        <v>5686</v>
      </c>
      <c r="B475" t="s">
        <v>451</v>
      </c>
      <c r="C475">
        <v>5</v>
      </c>
      <c r="D475" t="s">
        <v>5</v>
      </c>
    </row>
    <row r="476" spans="1:4" x14ac:dyDescent="0.2">
      <c r="A476">
        <v>5690</v>
      </c>
      <c r="B476" t="s">
        <v>452</v>
      </c>
      <c r="C476">
        <v>5</v>
      </c>
      <c r="D476" t="s">
        <v>5</v>
      </c>
    </row>
    <row r="477" spans="1:4" x14ac:dyDescent="0.2">
      <c r="A477">
        <v>5697</v>
      </c>
      <c r="B477" t="s">
        <v>453</v>
      </c>
      <c r="C477">
        <v>5</v>
      </c>
      <c r="D477" t="s">
        <v>5</v>
      </c>
    </row>
    <row r="478" spans="1:4" x14ac:dyDescent="0.2">
      <c r="A478">
        <v>5736</v>
      </c>
      <c r="B478" t="s">
        <v>454</v>
      </c>
      <c r="C478">
        <v>5</v>
      </c>
      <c r="D478" t="s">
        <v>5</v>
      </c>
    </row>
    <row r="479" spans="1:4" x14ac:dyDescent="0.2">
      <c r="A479">
        <v>5761</v>
      </c>
      <c r="B479" t="s">
        <v>455</v>
      </c>
      <c r="C479">
        <v>5</v>
      </c>
      <c r="D479" t="s">
        <v>5</v>
      </c>
    </row>
    <row r="480" spans="1:4" x14ac:dyDescent="0.2">
      <c r="A480">
        <v>5789</v>
      </c>
      <c r="B480" t="s">
        <v>456</v>
      </c>
      <c r="C480">
        <v>5</v>
      </c>
      <c r="D480" t="s">
        <v>5</v>
      </c>
    </row>
    <row r="481" spans="1:4" x14ac:dyDescent="0.2">
      <c r="A481">
        <v>5790</v>
      </c>
      <c r="B481" t="s">
        <v>457</v>
      </c>
      <c r="C481">
        <v>5</v>
      </c>
      <c r="D481" t="s">
        <v>5</v>
      </c>
    </row>
    <row r="482" spans="1:4" x14ac:dyDescent="0.2">
      <c r="A482">
        <v>5792</v>
      </c>
      <c r="B482" t="s">
        <v>458</v>
      </c>
      <c r="C482">
        <v>5</v>
      </c>
      <c r="D482" t="s">
        <v>5</v>
      </c>
    </row>
    <row r="483" spans="1:4" x14ac:dyDescent="0.2">
      <c r="A483">
        <v>5809</v>
      </c>
      <c r="B483" t="s">
        <v>459</v>
      </c>
      <c r="C483">
        <v>5</v>
      </c>
      <c r="D483" t="s">
        <v>5</v>
      </c>
    </row>
    <row r="484" spans="1:4" x14ac:dyDescent="0.2">
      <c r="A484">
        <v>5819</v>
      </c>
      <c r="B484" t="s">
        <v>460</v>
      </c>
      <c r="C484">
        <v>5</v>
      </c>
      <c r="D484" t="s">
        <v>5</v>
      </c>
    </row>
    <row r="485" spans="1:4" x14ac:dyDescent="0.2">
      <c r="A485">
        <v>5842</v>
      </c>
      <c r="B485" t="s">
        <v>461</v>
      </c>
      <c r="C485">
        <v>5</v>
      </c>
      <c r="D485" t="s">
        <v>5</v>
      </c>
    </row>
    <row r="486" spans="1:4" x14ac:dyDescent="0.2">
      <c r="A486">
        <v>5847</v>
      </c>
      <c r="B486" t="s">
        <v>462</v>
      </c>
      <c r="C486">
        <v>5</v>
      </c>
      <c r="D486" t="s">
        <v>5</v>
      </c>
    </row>
    <row r="487" spans="1:4" x14ac:dyDescent="0.2">
      <c r="A487">
        <v>5854</v>
      </c>
      <c r="B487" t="s">
        <v>463</v>
      </c>
      <c r="C487">
        <v>5</v>
      </c>
      <c r="D487" t="s">
        <v>5</v>
      </c>
    </row>
    <row r="488" spans="1:4" x14ac:dyDescent="0.2">
      <c r="A488">
        <v>5856</v>
      </c>
      <c r="B488" t="s">
        <v>464</v>
      </c>
      <c r="C488">
        <v>5</v>
      </c>
      <c r="D488" t="s">
        <v>5</v>
      </c>
    </row>
    <row r="489" spans="1:4" x14ac:dyDescent="0.2">
      <c r="A489">
        <v>5858</v>
      </c>
      <c r="B489" t="s">
        <v>465</v>
      </c>
      <c r="C489">
        <v>5</v>
      </c>
      <c r="D489" t="s">
        <v>5</v>
      </c>
    </row>
    <row r="490" spans="1:4" x14ac:dyDescent="0.2">
      <c r="A490">
        <v>5861</v>
      </c>
      <c r="B490" t="s">
        <v>466</v>
      </c>
      <c r="C490">
        <v>5</v>
      </c>
      <c r="D490" t="s">
        <v>5</v>
      </c>
    </row>
    <row r="491" spans="1:4" x14ac:dyDescent="0.2">
      <c r="A491">
        <v>5873</v>
      </c>
      <c r="B491" t="s">
        <v>467</v>
      </c>
      <c r="C491">
        <v>5</v>
      </c>
      <c r="D491" t="s">
        <v>5</v>
      </c>
    </row>
    <row r="492" spans="1:4" x14ac:dyDescent="0.2">
      <c r="A492">
        <v>5885</v>
      </c>
      <c r="B492" t="s">
        <v>468</v>
      </c>
      <c r="C492">
        <v>5</v>
      </c>
      <c r="D492" t="s">
        <v>5</v>
      </c>
    </row>
    <row r="493" spans="1:4" x14ac:dyDescent="0.2">
      <c r="A493">
        <v>5890</v>
      </c>
      <c r="B493" t="s">
        <v>469</v>
      </c>
      <c r="C493">
        <v>5</v>
      </c>
      <c r="D493" t="s">
        <v>5</v>
      </c>
    </row>
    <row r="494" spans="1:4" x14ac:dyDescent="0.2">
      <c r="A494">
        <v>5893</v>
      </c>
      <c r="B494" t="s">
        <v>470</v>
      </c>
      <c r="C494">
        <v>5</v>
      </c>
      <c r="D494" t="s">
        <v>5</v>
      </c>
    </row>
    <row r="495" spans="1:4" x14ac:dyDescent="0.2">
      <c r="A495">
        <v>5895</v>
      </c>
      <c r="B495" t="s">
        <v>471</v>
      </c>
      <c r="C495">
        <v>5</v>
      </c>
      <c r="D495" t="s">
        <v>5</v>
      </c>
    </row>
    <row r="496" spans="1:4" x14ac:dyDescent="0.2">
      <c r="A496">
        <v>8078</v>
      </c>
      <c r="B496" t="s">
        <v>472</v>
      </c>
      <c r="C496">
        <v>8</v>
      </c>
      <c r="D496" t="s">
        <v>34</v>
      </c>
    </row>
    <row r="497" spans="1:4" x14ac:dyDescent="0.2">
      <c r="A497">
        <v>8137</v>
      </c>
      <c r="B497" t="s">
        <v>473</v>
      </c>
      <c r="C497">
        <v>8</v>
      </c>
      <c r="D497" t="s">
        <v>34</v>
      </c>
    </row>
    <row r="498" spans="1:4" x14ac:dyDescent="0.2">
      <c r="A498">
        <v>8141</v>
      </c>
      <c r="B498" t="s">
        <v>287</v>
      </c>
      <c r="C498">
        <v>8</v>
      </c>
      <c r="D498" t="s">
        <v>34</v>
      </c>
    </row>
    <row r="499" spans="1:4" x14ac:dyDescent="0.2">
      <c r="A499">
        <v>8372</v>
      </c>
      <c r="B499" t="s">
        <v>474</v>
      </c>
      <c r="C499">
        <v>8</v>
      </c>
      <c r="D499" t="s">
        <v>34</v>
      </c>
    </row>
    <row r="500" spans="1:4" x14ac:dyDescent="0.2">
      <c r="A500">
        <v>8433</v>
      </c>
      <c r="B500" t="s">
        <v>475</v>
      </c>
      <c r="C500">
        <v>8</v>
      </c>
      <c r="D500" t="s">
        <v>34</v>
      </c>
    </row>
    <row r="501" spans="1:4" x14ac:dyDescent="0.2">
      <c r="A501">
        <v>8520</v>
      </c>
      <c r="B501" t="s">
        <v>476</v>
      </c>
      <c r="C501">
        <v>8</v>
      </c>
      <c r="D501" t="s">
        <v>34</v>
      </c>
    </row>
    <row r="502" spans="1:4" x14ac:dyDescent="0.2">
      <c r="A502">
        <v>8549</v>
      </c>
      <c r="B502" t="s">
        <v>477</v>
      </c>
      <c r="C502">
        <v>8</v>
      </c>
      <c r="D502" t="s">
        <v>34</v>
      </c>
    </row>
    <row r="503" spans="1:4" x14ac:dyDescent="0.2">
      <c r="A503">
        <v>8558</v>
      </c>
      <c r="B503" t="s">
        <v>478</v>
      </c>
      <c r="C503">
        <v>8</v>
      </c>
      <c r="D503" t="s">
        <v>34</v>
      </c>
    </row>
    <row r="504" spans="1:4" x14ac:dyDescent="0.2">
      <c r="A504">
        <v>8606</v>
      </c>
      <c r="B504" t="s">
        <v>479</v>
      </c>
      <c r="C504">
        <v>8</v>
      </c>
      <c r="D504" t="s">
        <v>34</v>
      </c>
    </row>
    <row r="505" spans="1:4" x14ac:dyDescent="0.2">
      <c r="A505">
        <v>8758</v>
      </c>
      <c r="B505" t="s">
        <v>480</v>
      </c>
      <c r="C505">
        <v>8</v>
      </c>
      <c r="D505" t="s">
        <v>34</v>
      </c>
    </row>
    <row r="506" spans="1:4" x14ac:dyDescent="0.2">
      <c r="A506">
        <v>8770</v>
      </c>
      <c r="B506" t="s">
        <v>481</v>
      </c>
      <c r="C506">
        <v>8</v>
      </c>
      <c r="D506" t="s">
        <v>34</v>
      </c>
    </row>
    <row r="507" spans="1:4" x14ac:dyDescent="0.2">
      <c r="A507">
        <v>8832</v>
      </c>
      <c r="B507" t="s">
        <v>482</v>
      </c>
      <c r="C507">
        <v>8</v>
      </c>
      <c r="D507" t="s">
        <v>34</v>
      </c>
    </row>
    <row r="508" spans="1:4" x14ac:dyDescent="0.2">
      <c r="A508">
        <v>8849</v>
      </c>
      <c r="B508" t="s">
        <v>483</v>
      </c>
      <c r="C508">
        <v>8</v>
      </c>
      <c r="D508" t="s">
        <v>34</v>
      </c>
    </row>
    <row r="509" spans="1:4" x14ac:dyDescent="0.2">
      <c r="A509">
        <v>13006</v>
      </c>
      <c r="B509" t="s">
        <v>484</v>
      </c>
      <c r="C509">
        <v>13</v>
      </c>
      <c r="D509" t="s">
        <v>50</v>
      </c>
    </row>
    <row r="510" spans="1:4" x14ac:dyDescent="0.2">
      <c r="A510">
        <v>13030</v>
      </c>
      <c r="B510" t="s">
        <v>485</v>
      </c>
      <c r="C510">
        <v>13</v>
      </c>
      <c r="D510" t="s">
        <v>50</v>
      </c>
    </row>
    <row r="511" spans="1:4" x14ac:dyDescent="0.2">
      <c r="A511">
        <v>13042</v>
      </c>
      <c r="B511" t="s">
        <v>486</v>
      </c>
      <c r="C511">
        <v>13</v>
      </c>
      <c r="D511" t="s">
        <v>50</v>
      </c>
    </row>
    <row r="512" spans="1:4" x14ac:dyDescent="0.2">
      <c r="A512">
        <v>13062</v>
      </c>
      <c r="B512" t="s">
        <v>487</v>
      </c>
      <c r="C512">
        <v>13</v>
      </c>
      <c r="D512" t="s">
        <v>50</v>
      </c>
    </row>
    <row r="513" spans="1:4" x14ac:dyDescent="0.2">
      <c r="A513">
        <v>13074</v>
      </c>
      <c r="B513" t="s">
        <v>488</v>
      </c>
      <c r="C513">
        <v>13</v>
      </c>
      <c r="D513" t="s">
        <v>50</v>
      </c>
    </row>
    <row r="514" spans="1:4" x14ac:dyDescent="0.2">
      <c r="A514">
        <v>13160</v>
      </c>
      <c r="B514" t="s">
        <v>489</v>
      </c>
      <c r="C514">
        <v>13</v>
      </c>
      <c r="D514" t="s">
        <v>50</v>
      </c>
    </row>
    <row r="515" spans="1:4" x14ac:dyDescent="0.2">
      <c r="A515">
        <v>13188</v>
      </c>
      <c r="B515" t="s">
        <v>490</v>
      </c>
      <c r="C515">
        <v>13</v>
      </c>
      <c r="D515" t="s">
        <v>50</v>
      </c>
    </row>
    <row r="516" spans="1:4" x14ac:dyDescent="0.2">
      <c r="A516">
        <v>13212</v>
      </c>
      <c r="B516" t="s">
        <v>115</v>
      </c>
      <c r="C516">
        <v>13</v>
      </c>
      <c r="D516" t="s">
        <v>50</v>
      </c>
    </row>
    <row r="517" spans="1:4" x14ac:dyDescent="0.2">
      <c r="A517">
        <v>13222</v>
      </c>
      <c r="B517" t="s">
        <v>491</v>
      </c>
      <c r="C517">
        <v>13</v>
      </c>
      <c r="D517" t="s">
        <v>50</v>
      </c>
    </row>
    <row r="518" spans="1:4" x14ac:dyDescent="0.2">
      <c r="A518">
        <v>13248</v>
      </c>
      <c r="B518" t="s">
        <v>492</v>
      </c>
      <c r="C518">
        <v>13</v>
      </c>
      <c r="D518" t="s">
        <v>50</v>
      </c>
    </row>
    <row r="519" spans="1:4" x14ac:dyDescent="0.2">
      <c r="A519">
        <v>13268</v>
      </c>
      <c r="B519" t="s">
        <v>493</v>
      </c>
      <c r="C519">
        <v>13</v>
      </c>
      <c r="D519" t="s">
        <v>50</v>
      </c>
    </row>
    <row r="520" spans="1:4" x14ac:dyDescent="0.2">
      <c r="A520">
        <v>13300</v>
      </c>
      <c r="B520" t="s">
        <v>494</v>
      </c>
      <c r="C520">
        <v>13</v>
      </c>
      <c r="D520" t="s">
        <v>50</v>
      </c>
    </row>
    <row r="521" spans="1:4" x14ac:dyDescent="0.2">
      <c r="A521">
        <v>13433</v>
      </c>
      <c r="B521" t="s">
        <v>495</v>
      </c>
      <c r="C521">
        <v>13</v>
      </c>
      <c r="D521" t="s">
        <v>50</v>
      </c>
    </row>
    <row r="522" spans="1:4" x14ac:dyDescent="0.2">
      <c r="A522">
        <v>13440</v>
      </c>
      <c r="B522" t="s">
        <v>496</v>
      </c>
      <c r="C522">
        <v>13</v>
      </c>
      <c r="D522" t="s">
        <v>50</v>
      </c>
    </row>
    <row r="523" spans="1:4" x14ac:dyDescent="0.2">
      <c r="A523">
        <v>13458</v>
      </c>
      <c r="B523" t="s">
        <v>497</v>
      </c>
      <c r="C523">
        <v>13</v>
      </c>
      <c r="D523" t="s">
        <v>50</v>
      </c>
    </row>
    <row r="524" spans="1:4" x14ac:dyDescent="0.2">
      <c r="A524">
        <v>13473</v>
      </c>
      <c r="B524" t="s">
        <v>498</v>
      </c>
      <c r="C524">
        <v>13</v>
      </c>
      <c r="D524" t="s">
        <v>50</v>
      </c>
    </row>
    <row r="525" spans="1:4" x14ac:dyDescent="0.2">
      <c r="A525">
        <v>13490</v>
      </c>
      <c r="B525" t="s">
        <v>499</v>
      </c>
      <c r="C525">
        <v>13</v>
      </c>
      <c r="D525" t="s">
        <v>50</v>
      </c>
    </row>
    <row r="526" spans="1:4" x14ac:dyDescent="0.2">
      <c r="A526">
        <v>13549</v>
      </c>
      <c r="B526" t="s">
        <v>500</v>
      </c>
      <c r="C526">
        <v>13</v>
      </c>
      <c r="D526" t="s">
        <v>50</v>
      </c>
    </row>
    <row r="527" spans="1:4" x14ac:dyDescent="0.2">
      <c r="A527">
        <v>13580</v>
      </c>
      <c r="B527" t="s">
        <v>501</v>
      </c>
      <c r="C527">
        <v>13</v>
      </c>
      <c r="D527" t="s">
        <v>50</v>
      </c>
    </row>
    <row r="528" spans="1:4" x14ac:dyDescent="0.2">
      <c r="A528">
        <v>13600</v>
      </c>
      <c r="B528" t="s">
        <v>502</v>
      </c>
      <c r="C528">
        <v>13</v>
      </c>
      <c r="D528" t="s">
        <v>50</v>
      </c>
    </row>
    <row r="529" spans="1:4" x14ac:dyDescent="0.2">
      <c r="A529">
        <v>13620</v>
      </c>
      <c r="B529" t="s">
        <v>503</v>
      </c>
      <c r="C529">
        <v>13</v>
      </c>
      <c r="D529" t="s">
        <v>50</v>
      </c>
    </row>
    <row r="530" spans="1:4" x14ac:dyDescent="0.2">
      <c r="A530">
        <v>13647</v>
      </c>
      <c r="B530" t="s">
        <v>504</v>
      </c>
      <c r="C530">
        <v>13</v>
      </c>
      <c r="D530" t="s">
        <v>50</v>
      </c>
    </row>
    <row r="531" spans="1:4" x14ac:dyDescent="0.2">
      <c r="A531">
        <v>13650</v>
      </c>
      <c r="B531" t="s">
        <v>505</v>
      </c>
      <c r="C531">
        <v>13</v>
      </c>
      <c r="D531" t="s">
        <v>50</v>
      </c>
    </row>
    <row r="532" spans="1:4" x14ac:dyDescent="0.2">
      <c r="A532">
        <v>13655</v>
      </c>
      <c r="B532" t="s">
        <v>506</v>
      </c>
      <c r="C532">
        <v>13</v>
      </c>
      <c r="D532" t="s">
        <v>50</v>
      </c>
    </row>
    <row r="533" spans="1:4" x14ac:dyDescent="0.2">
      <c r="A533">
        <v>13667</v>
      </c>
      <c r="B533" t="s">
        <v>507</v>
      </c>
      <c r="C533">
        <v>13</v>
      </c>
      <c r="D533" t="s">
        <v>50</v>
      </c>
    </row>
    <row r="534" spans="1:4" x14ac:dyDescent="0.2">
      <c r="A534">
        <v>13670</v>
      </c>
      <c r="B534" t="s">
        <v>508</v>
      </c>
      <c r="C534">
        <v>13</v>
      </c>
      <c r="D534" t="s">
        <v>50</v>
      </c>
    </row>
    <row r="535" spans="1:4" x14ac:dyDescent="0.2">
      <c r="A535">
        <v>13673</v>
      </c>
      <c r="B535" t="s">
        <v>509</v>
      </c>
      <c r="C535">
        <v>13</v>
      </c>
      <c r="D535" t="s">
        <v>50</v>
      </c>
    </row>
    <row r="536" spans="1:4" x14ac:dyDescent="0.2">
      <c r="A536">
        <v>13688</v>
      </c>
      <c r="B536" t="s">
        <v>510</v>
      </c>
      <c r="C536">
        <v>13</v>
      </c>
      <c r="D536" t="s">
        <v>50</v>
      </c>
    </row>
    <row r="537" spans="1:4" x14ac:dyDescent="0.2">
      <c r="A537">
        <v>13744</v>
      </c>
      <c r="B537" t="s">
        <v>511</v>
      </c>
      <c r="C537">
        <v>13</v>
      </c>
      <c r="D537" t="s">
        <v>50</v>
      </c>
    </row>
    <row r="538" spans="1:4" x14ac:dyDescent="0.2">
      <c r="A538">
        <v>13760</v>
      </c>
      <c r="B538" t="s">
        <v>512</v>
      </c>
      <c r="C538">
        <v>13</v>
      </c>
      <c r="D538" t="s">
        <v>50</v>
      </c>
    </row>
    <row r="539" spans="1:4" x14ac:dyDescent="0.2">
      <c r="A539">
        <v>13780</v>
      </c>
      <c r="B539" t="s">
        <v>513</v>
      </c>
      <c r="C539">
        <v>13</v>
      </c>
      <c r="D539" t="s">
        <v>50</v>
      </c>
    </row>
    <row r="540" spans="1:4" x14ac:dyDescent="0.2">
      <c r="A540">
        <v>13810</v>
      </c>
      <c r="B540" t="s">
        <v>514</v>
      </c>
      <c r="C540">
        <v>13</v>
      </c>
      <c r="D540" t="s">
        <v>50</v>
      </c>
    </row>
    <row r="541" spans="1:4" x14ac:dyDescent="0.2">
      <c r="A541">
        <v>13838</v>
      </c>
      <c r="B541" t="s">
        <v>515</v>
      </c>
      <c r="C541">
        <v>13</v>
      </c>
      <c r="D541" t="s">
        <v>50</v>
      </c>
    </row>
    <row r="542" spans="1:4" x14ac:dyDescent="0.2">
      <c r="A542">
        <v>13894</v>
      </c>
      <c r="B542" t="s">
        <v>516</v>
      </c>
      <c r="C542">
        <v>13</v>
      </c>
      <c r="D542" t="s">
        <v>50</v>
      </c>
    </row>
    <row r="543" spans="1:4" x14ac:dyDescent="0.2">
      <c r="A543">
        <v>15047</v>
      </c>
      <c r="B543" t="s">
        <v>517</v>
      </c>
      <c r="C543">
        <v>15</v>
      </c>
      <c r="D543" t="s">
        <v>64</v>
      </c>
    </row>
    <row r="544" spans="1:4" x14ac:dyDescent="0.2">
      <c r="A544">
        <v>15051</v>
      </c>
      <c r="B544" t="s">
        <v>518</v>
      </c>
      <c r="C544">
        <v>15</v>
      </c>
      <c r="D544" t="s">
        <v>64</v>
      </c>
    </row>
    <row r="545" spans="1:4" x14ac:dyDescent="0.2">
      <c r="A545">
        <v>15087</v>
      </c>
      <c r="B545" t="s">
        <v>519</v>
      </c>
      <c r="C545">
        <v>15</v>
      </c>
      <c r="D545" t="s">
        <v>64</v>
      </c>
    </row>
    <row r="546" spans="1:4" x14ac:dyDescent="0.2">
      <c r="A546">
        <v>15090</v>
      </c>
      <c r="B546" t="s">
        <v>520</v>
      </c>
      <c r="C546">
        <v>15</v>
      </c>
      <c r="D546" t="s">
        <v>64</v>
      </c>
    </row>
    <row r="547" spans="1:4" x14ac:dyDescent="0.2">
      <c r="A547">
        <v>15092</v>
      </c>
      <c r="B547" t="s">
        <v>521</v>
      </c>
      <c r="C547">
        <v>15</v>
      </c>
      <c r="D547" t="s">
        <v>64</v>
      </c>
    </row>
    <row r="548" spans="1:4" x14ac:dyDescent="0.2">
      <c r="A548">
        <v>15097</v>
      </c>
      <c r="B548" t="s">
        <v>522</v>
      </c>
      <c r="C548">
        <v>15</v>
      </c>
      <c r="D548" t="s">
        <v>64</v>
      </c>
    </row>
    <row r="549" spans="1:4" x14ac:dyDescent="0.2">
      <c r="A549">
        <v>15104</v>
      </c>
      <c r="B549" t="s">
        <v>64</v>
      </c>
      <c r="C549">
        <v>15</v>
      </c>
      <c r="D549" t="s">
        <v>64</v>
      </c>
    </row>
    <row r="550" spans="1:4" x14ac:dyDescent="0.2">
      <c r="A550">
        <v>15109</v>
      </c>
      <c r="B550" t="s">
        <v>523</v>
      </c>
      <c r="C550">
        <v>15</v>
      </c>
      <c r="D550" t="s">
        <v>64</v>
      </c>
    </row>
    <row r="551" spans="1:4" x14ac:dyDescent="0.2">
      <c r="A551">
        <v>15114</v>
      </c>
      <c r="B551" t="s">
        <v>524</v>
      </c>
      <c r="C551">
        <v>15</v>
      </c>
      <c r="D551" t="s">
        <v>64</v>
      </c>
    </row>
    <row r="552" spans="1:4" x14ac:dyDescent="0.2">
      <c r="A552">
        <v>15131</v>
      </c>
      <c r="B552" t="s">
        <v>77</v>
      </c>
      <c r="C552">
        <v>15</v>
      </c>
      <c r="D552" t="s">
        <v>64</v>
      </c>
    </row>
    <row r="553" spans="1:4" x14ac:dyDescent="0.2">
      <c r="A553">
        <v>15135</v>
      </c>
      <c r="B553" t="s">
        <v>525</v>
      </c>
      <c r="C553">
        <v>15</v>
      </c>
      <c r="D553" t="s">
        <v>64</v>
      </c>
    </row>
    <row r="554" spans="1:4" x14ac:dyDescent="0.2">
      <c r="A554">
        <v>15162</v>
      </c>
      <c r="B554" t="s">
        <v>526</v>
      </c>
      <c r="C554">
        <v>15</v>
      </c>
      <c r="D554" t="s">
        <v>64</v>
      </c>
    </row>
    <row r="555" spans="1:4" x14ac:dyDescent="0.2">
      <c r="A555">
        <v>15180</v>
      </c>
      <c r="B555" t="s">
        <v>527</v>
      </c>
      <c r="C555">
        <v>15</v>
      </c>
      <c r="D555" t="s">
        <v>64</v>
      </c>
    </row>
    <row r="556" spans="1:4" x14ac:dyDescent="0.2">
      <c r="A556">
        <v>15183</v>
      </c>
      <c r="B556" t="s">
        <v>528</v>
      </c>
      <c r="C556">
        <v>15</v>
      </c>
      <c r="D556" t="s">
        <v>64</v>
      </c>
    </row>
    <row r="557" spans="1:4" x14ac:dyDescent="0.2">
      <c r="A557">
        <v>15185</v>
      </c>
      <c r="B557" t="s">
        <v>529</v>
      </c>
      <c r="C557">
        <v>15</v>
      </c>
      <c r="D557" t="s">
        <v>64</v>
      </c>
    </row>
    <row r="558" spans="1:4" x14ac:dyDescent="0.2">
      <c r="A558">
        <v>15187</v>
      </c>
      <c r="B558" t="s">
        <v>530</v>
      </c>
      <c r="C558">
        <v>15</v>
      </c>
      <c r="D558" t="s">
        <v>64</v>
      </c>
    </row>
    <row r="559" spans="1:4" x14ac:dyDescent="0.2">
      <c r="A559">
        <v>15189</v>
      </c>
      <c r="B559" t="s">
        <v>531</v>
      </c>
      <c r="C559">
        <v>15</v>
      </c>
      <c r="D559" t="s">
        <v>64</v>
      </c>
    </row>
    <row r="560" spans="1:4" x14ac:dyDescent="0.2">
      <c r="A560">
        <v>15204</v>
      </c>
      <c r="B560" t="s">
        <v>532</v>
      </c>
      <c r="C560">
        <v>15</v>
      </c>
      <c r="D560" t="s">
        <v>64</v>
      </c>
    </row>
    <row r="561" spans="1:4" x14ac:dyDescent="0.2">
      <c r="A561">
        <v>15212</v>
      </c>
      <c r="B561" t="s">
        <v>533</v>
      </c>
      <c r="C561">
        <v>15</v>
      </c>
      <c r="D561" t="s">
        <v>64</v>
      </c>
    </row>
    <row r="562" spans="1:4" x14ac:dyDescent="0.2">
      <c r="A562">
        <v>15215</v>
      </c>
      <c r="B562" t="s">
        <v>534</v>
      </c>
      <c r="C562">
        <v>15</v>
      </c>
      <c r="D562" t="s">
        <v>64</v>
      </c>
    </row>
    <row r="563" spans="1:4" x14ac:dyDescent="0.2">
      <c r="A563">
        <v>15218</v>
      </c>
      <c r="B563" t="s">
        <v>535</v>
      </c>
      <c r="C563">
        <v>15</v>
      </c>
      <c r="D563" t="s">
        <v>64</v>
      </c>
    </row>
    <row r="564" spans="1:4" x14ac:dyDescent="0.2">
      <c r="A564">
        <v>15223</v>
      </c>
      <c r="B564" t="s">
        <v>536</v>
      </c>
      <c r="C564">
        <v>15</v>
      </c>
      <c r="D564" t="s">
        <v>64</v>
      </c>
    </row>
    <row r="565" spans="1:4" x14ac:dyDescent="0.2">
      <c r="A565">
        <v>15224</v>
      </c>
      <c r="B565" t="s">
        <v>537</v>
      </c>
      <c r="C565">
        <v>15</v>
      </c>
      <c r="D565" t="s">
        <v>64</v>
      </c>
    </row>
    <row r="566" spans="1:4" x14ac:dyDescent="0.2">
      <c r="A566">
        <v>15226</v>
      </c>
      <c r="B566" t="s">
        <v>538</v>
      </c>
      <c r="C566">
        <v>15</v>
      </c>
      <c r="D566" t="s">
        <v>64</v>
      </c>
    </row>
    <row r="567" spans="1:4" x14ac:dyDescent="0.2">
      <c r="A567">
        <v>15232</v>
      </c>
      <c r="B567" t="s">
        <v>539</v>
      </c>
      <c r="C567">
        <v>15</v>
      </c>
      <c r="D567" t="s">
        <v>64</v>
      </c>
    </row>
    <row r="568" spans="1:4" x14ac:dyDescent="0.2">
      <c r="A568">
        <v>15236</v>
      </c>
      <c r="B568" t="s">
        <v>540</v>
      </c>
      <c r="C568">
        <v>15</v>
      </c>
      <c r="D568" t="s">
        <v>64</v>
      </c>
    </row>
    <row r="569" spans="1:4" x14ac:dyDescent="0.2">
      <c r="A569">
        <v>15244</v>
      </c>
      <c r="B569" t="s">
        <v>541</v>
      </c>
      <c r="C569">
        <v>15</v>
      </c>
      <c r="D569" t="s">
        <v>64</v>
      </c>
    </row>
    <row r="570" spans="1:4" x14ac:dyDescent="0.2">
      <c r="A570">
        <v>15248</v>
      </c>
      <c r="B570" t="s">
        <v>542</v>
      </c>
      <c r="C570">
        <v>15</v>
      </c>
      <c r="D570" t="s">
        <v>64</v>
      </c>
    </row>
    <row r="571" spans="1:4" x14ac:dyDescent="0.2">
      <c r="A571">
        <v>15272</v>
      </c>
      <c r="B571" t="s">
        <v>543</v>
      </c>
      <c r="C571">
        <v>15</v>
      </c>
      <c r="D571" t="s">
        <v>64</v>
      </c>
    </row>
    <row r="572" spans="1:4" x14ac:dyDescent="0.2">
      <c r="A572">
        <v>15276</v>
      </c>
      <c r="B572" t="s">
        <v>544</v>
      </c>
      <c r="C572">
        <v>15</v>
      </c>
      <c r="D572" t="s">
        <v>64</v>
      </c>
    </row>
    <row r="573" spans="1:4" x14ac:dyDescent="0.2">
      <c r="A573">
        <v>15293</v>
      </c>
      <c r="B573" t="s">
        <v>545</v>
      </c>
      <c r="C573">
        <v>15</v>
      </c>
      <c r="D573" t="s">
        <v>64</v>
      </c>
    </row>
    <row r="574" spans="1:4" x14ac:dyDescent="0.2">
      <c r="A574">
        <v>15296</v>
      </c>
      <c r="B574" t="s">
        <v>546</v>
      </c>
      <c r="C574">
        <v>15</v>
      </c>
      <c r="D574" t="s">
        <v>64</v>
      </c>
    </row>
    <row r="575" spans="1:4" x14ac:dyDescent="0.2">
      <c r="A575">
        <v>15299</v>
      </c>
      <c r="B575" t="s">
        <v>547</v>
      </c>
      <c r="C575">
        <v>15</v>
      </c>
      <c r="D575" t="s">
        <v>64</v>
      </c>
    </row>
    <row r="576" spans="1:4" x14ac:dyDescent="0.2">
      <c r="A576">
        <v>15317</v>
      </c>
      <c r="B576" t="s">
        <v>548</v>
      </c>
      <c r="C576">
        <v>15</v>
      </c>
      <c r="D576" t="s">
        <v>64</v>
      </c>
    </row>
    <row r="577" spans="1:4" x14ac:dyDescent="0.2">
      <c r="A577">
        <v>15325</v>
      </c>
      <c r="B577" t="s">
        <v>549</v>
      </c>
      <c r="C577">
        <v>15</v>
      </c>
      <c r="D577" t="s">
        <v>64</v>
      </c>
    </row>
    <row r="578" spans="1:4" x14ac:dyDescent="0.2">
      <c r="A578">
        <v>15332</v>
      </c>
      <c r="B578" t="s">
        <v>550</v>
      </c>
      <c r="C578">
        <v>15</v>
      </c>
      <c r="D578" t="s">
        <v>64</v>
      </c>
    </row>
    <row r="579" spans="1:4" x14ac:dyDescent="0.2">
      <c r="A579">
        <v>15362</v>
      </c>
      <c r="B579" t="s">
        <v>551</v>
      </c>
      <c r="C579">
        <v>15</v>
      </c>
      <c r="D579" t="s">
        <v>64</v>
      </c>
    </row>
    <row r="580" spans="1:4" x14ac:dyDescent="0.2">
      <c r="A580">
        <v>15367</v>
      </c>
      <c r="B580" t="s">
        <v>552</v>
      </c>
      <c r="C580">
        <v>15</v>
      </c>
      <c r="D580" t="s">
        <v>64</v>
      </c>
    </row>
    <row r="581" spans="1:4" x14ac:dyDescent="0.2">
      <c r="A581">
        <v>15368</v>
      </c>
      <c r="B581" t="s">
        <v>415</v>
      </c>
      <c r="C581">
        <v>15</v>
      </c>
      <c r="D581" t="s">
        <v>64</v>
      </c>
    </row>
    <row r="582" spans="1:4" x14ac:dyDescent="0.2">
      <c r="A582">
        <v>15377</v>
      </c>
      <c r="B582" t="s">
        <v>553</v>
      </c>
      <c r="C582">
        <v>15</v>
      </c>
      <c r="D582" t="s">
        <v>64</v>
      </c>
    </row>
    <row r="583" spans="1:4" x14ac:dyDescent="0.2">
      <c r="A583">
        <v>15401</v>
      </c>
      <c r="B583" t="s">
        <v>554</v>
      </c>
      <c r="C583">
        <v>15</v>
      </c>
      <c r="D583" t="s">
        <v>64</v>
      </c>
    </row>
    <row r="584" spans="1:4" x14ac:dyDescent="0.2">
      <c r="A584">
        <v>15403</v>
      </c>
      <c r="B584" t="s">
        <v>555</v>
      </c>
      <c r="C584">
        <v>15</v>
      </c>
      <c r="D584" t="s">
        <v>64</v>
      </c>
    </row>
    <row r="585" spans="1:4" x14ac:dyDescent="0.2">
      <c r="A585">
        <v>15407</v>
      </c>
      <c r="B585" t="s">
        <v>556</v>
      </c>
      <c r="C585">
        <v>15</v>
      </c>
      <c r="D585" t="s">
        <v>64</v>
      </c>
    </row>
    <row r="586" spans="1:4" x14ac:dyDescent="0.2">
      <c r="A586">
        <v>15425</v>
      </c>
      <c r="B586" t="s">
        <v>557</v>
      </c>
      <c r="C586">
        <v>15</v>
      </c>
      <c r="D586" t="s">
        <v>64</v>
      </c>
    </row>
    <row r="587" spans="1:4" x14ac:dyDescent="0.2">
      <c r="A587">
        <v>15442</v>
      </c>
      <c r="B587" t="s">
        <v>558</v>
      </c>
      <c r="C587">
        <v>15</v>
      </c>
      <c r="D587" t="s">
        <v>64</v>
      </c>
    </row>
    <row r="588" spans="1:4" x14ac:dyDescent="0.2">
      <c r="A588">
        <v>15455</v>
      </c>
      <c r="B588" t="s">
        <v>559</v>
      </c>
      <c r="C588">
        <v>15</v>
      </c>
      <c r="D588" t="s">
        <v>64</v>
      </c>
    </row>
    <row r="589" spans="1:4" x14ac:dyDescent="0.2">
      <c r="A589">
        <v>15464</v>
      </c>
      <c r="B589" t="s">
        <v>560</v>
      </c>
      <c r="C589">
        <v>15</v>
      </c>
      <c r="D589" t="s">
        <v>64</v>
      </c>
    </row>
    <row r="590" spans="1:4" x14ac:dyDescent="0.2">
      <c r="A590">
        <v>15466</v>
      </c>
      <c r="B590" t="s">
        <v>561</v>
      </c>
      <c r="C590">
        <v>15</v>
      </c>
      <c r="D590" t="s">
        <v>64</v>
      </c>
    </row>
    <row r="591" spans="1:4" x14ac:dyDescent="0.2">
      <c r="A591">
        <v>15469</v>
      </c>
      <c r="B591" t="s">
        <v>562</v>
      </c>
      <c r="C591">
        <v>15</v>
      </c>
      <c r="D591" t="s">
        <v>64</v>
      </c>
    </row>
    <row r="592" spans="1:4" x14ac:dyDescent="0.2">
      <c r="A592">
        <v>15476</v>
      </c>
      <c r="B592" t="s">
        <v>563</v>
      </c>
      <c r="C592">
        <v>15</v>
      </c>
      <c r="D592" t="s">
        <v>64</v>
      </c>
    </row>
    <row r="593" spans="1:4" x14ac:dyDescent="0.2">
      <c r="A593">
        <v>15480</v>
      </c>
      <c r="B593" t="s">
        <v>564</v>
      </c>
      <c r="C593">
        <v>15</v>
      </c>
      <c r="D593" t="s">
        <v>64</v>
      </c>
    </row>
    <row r="594" spans="1:4" x14ac:dyDescent="0.2">
      <c r="A594">
        <v>15491</v>
      </c>
      <c r="B594" t="s">
        <v>565</v>
      </c>
      <c r="C594">
        <v>15</v>
      </c>
      <c r="D594" t="s">
        <v>64</v>
      </c>
    </row>
    <row r="595" spans="1:4" x14ac:dyDescent="0.2">
      <c r="A595">
        <v>15494</v>
      </c>
      <c r="B595" t="s">
        <v>566</v>
      </c>
      <c r="C595">
        <v>15</v>
      </c>
      <c r="D595" t="s">
        <v>64</v>
      </c>
    </row>
    <row r="596" spans="1:4" x14ac:dyDescent="0.2">
      <c r="A596">
        <v>15500</v>
      </c>
      <c r="B596" t="s">
        <v>567</v>
      </c>
      <c r="C596">
        <v>15</v>
      </c>
      <c r="D596" t="s">
        <v>64</v>
      </c>
    </row>
    <row r="597" spans="1:4" x14ac:dyDescent="0.2">
      <c r="A597">
        <v>15507</v>
      </c>
      <c r="B597" t="s">
        <v>568</v>
      </c>
      <c r="C597">
        <v>15</v>
      </c>
      <c r="D597" t="s">
        <v>64</v>
      </c>
    </row>
    <row r="598" spans="1:4" x14ac:dyDescent="0.2">
      <c r="A598">
        <v>15511</v>
      </c>
      <c r="B598" t="s">
        <v>569</v>
      </c>
      <c r="C598">
        <v>15</v>
      </c>
      <c r="D598" t="s">
        <v>64</v>
      </c>
    </row>
    <row r="599" spans="1:4" x14ac:dyDescent="0.2">
      <c r="A599">
        <v>15514</v>
      </c>
      <c r="B599" t="s">
        <v>570</v>
      </c>
      <c r="C599">
        <v>15</v>
      </c>
      <c r="D599" t="s">
        <v>64</v>
      </c>
    </row>
    <row r="600" spans="1:4" x14ac:dyDescent="0.2">
      <c r="A600">
        <v>15518</v>
      </c>
      <c r="B600" t="s">
        <v>571</v>
      </c>
      <c r="C600">
        <v>15</v>
      </c>
      <c r="D600" t="s">
        <v>64</v>
      </c>
    </row>
    <row r="601" spans="1:4" x14ac:dyDescent="0.2">
      <c r="A601">
        <v>15522</v>
      </c>
      <c r="B601" t="s">
        <v>572</v>
      </c>
      <c r="C601">
        <v>15</v>
      </c>
      <c r="D601" t="s">
        <v>64</v>
      </c>
    </row>
    <row r="602" spans="1:4" x14ac:dyDescent="0.2">
      <c r="A602">
        <v>15531</v>
      </c>
      <c r="B602" t="s">
        <v>573</v>
      </c>
      <c r="C602">
        <v>15</v>
      </c>
      <c r="D602" t="s">
        <v>64</v>
      </c>
    </row>
    <row r="603" spans="1:4" x14ac:dyDescent="0.2">
      <c r="A603">
        <v>15533</v>
      </c>
      <c r="B603" t="s">
        <v>574</v>
      </c>
      <c r="C603">
        <v>15</v>
      </c>
      <c r="D603" t="s">
        <v>64</v>
      </c>
    </row>
    <row r="604" spans="1:4" x14ac:dyDescent="0.2">
      <c r="A604">
        <v>15537</v>
      </c>
      <c r="B604" t="s">
        <v>575</v>
      </c>
      <c r="C604">
        <v>15</v>
      </c>
      <c r="D604" t="s">
        <v>64</v>
      </c>
    </row>
    <row r="605" spans="1:4" x14ac:dyDescent="0.2">
      <c r="A605">
        <v>15542</v>
      </c>
      <c r="B605" t="s">
        <v>576</v>
      </c>
      <c r="C605">
        <v>15</v>
      </c>
      <c r="D605" t="s">
        <v>64</v>
      </c>
    </row>
    <row r="606" spans="1:4" x14ac:dyDescent="0.2">
      <c r="A606">
        <v>15550</v>
      </c>
      <c r="B606" t="s">
        <v>577</v>
      </c>
      <c r="C606">
        <v>15</v>
      </c>
      <c r="D606" t="s">
        <v>64</v>
      </c>
    </row>
    <row r="607" spans="1:4" x14ac:dyDescent="0.2">
      <c r="A607">
        <v>15572</v>
      </c>
      <c r="B607" t="s">
        <v>578</v>
      </c>
      <c r="C607">
        <v>15</v>
      </c>
      <c r="D607" t="s">
        <v>64</v>
      </c>
    </row>
    <row r="608" spans="1:4" x14ac:dyDescent="0.2">
      <c r="A608">
        <v>15580</v>
      </c>
      <c r="B608" t="s">
        <v>579</v>
      </c>
      <c r="C608">
        <v>15</v>
      </c>
      <c r="D608" t="s">
        <v>64</v>
      </c>
    </row>
    <row r="609" spans="1:4" x14ac:dyDescent="0.2">
      <c r="A609">
        <v>15599</v>
      </c>
      <c r="B609" t="s">
        <v>580</v>
      </c>
      <c r="C609">
        <v>15</v>
      </c>
      <c r="D609" t="s">
        <v>64</v>
      </c>
    </row>
    <row r="610" spans="1:4" x14ac:dyDescent="0.2">
      <c r="A610">
        <v>15600</v>
      </c>
      <c r="B610" t="s">
        <v>581</v>
      </c>
      <c r="C610">
        <v>15</v>
      </c>
      <c r="D610" t="s">
        <v>64</v>
      </c>
    </row>
    <row r="611" spans="1:4" x14ac:dyDescent="0.2">
      <c r="A611">
        <v>15621</v>
      </c>
      <c r="B611" t="s">
        <v>582</v>
      </c>
      <c r="C611">
        <v>15</v>
      </c>
      <c r="D611" t="s">
        <v>64</v>
      </c>
    </row>
    <row r="612" spans="1:4" x14ac:dyDescent="0.2">
      <c r="A612">
        <v>15632</v>
      </c>
      <c r="B612" t="s">
        <v>583</v>
      </c>
      <c r="C612">
        <v>15</v>
      </c>
      <c r="D612" t="s">
        <v>64</v>
      </c>
    </row>
    <row r="613" spans="1:4" x14ac:dyDescent="0.2">
      <c r="A613">
        <v>15638</v>
      </c>
      <c r="B613" t="s">
        <v>584</v>
      </c>
      <c r="C613">
        <v>15</v>
      </c>
      <c r="D613" t="s">
        <v>64</v>
      </c>
    </row>
    <row r="614" spans="1:4" x14ac:dyDescent="0.2">
      <c r="A614">
        <v>15646</v>
      </c>
      <c r="B614" t="s">
        <v>585</v>
      </c>
      <c r="C614">
        <v>15</v>
      </c>
      <c r="D614" t="s">
        <v>64</v>
      </c>
    </row>
    <row r="615" spans="1:4" x14ac:dyDescent="0.2">
      <c r="A615">
        <v>15660</v>
      </c>
      <c r="B615" t="s">
        <v>586</v>
      </c>
      <c r="C615">
        <v>15</v>
      </c>
      <c r="D615" t="s">
        <v>64</v>
      </c>
    </row>
    <row r="616" spans="1:4" x14ac:dyDescent="0.2">
      <c r="A616">
        <v>15664</v>
      </c>
      <c r="B616" t="s">
        <v>587</v>
      </c>
      <c r="C616">
        <v>15</v>
      </c>
      <c r="D616" t="s">
        <v>64</v>
      </c>
    </row>
    <row r="617" spans="1:4" x14ac:dyDescent="0.2">
      <c r="A617">
        <v>15667</v>
      </c>
      <c r="B617" t="s">
        <v>588</v>
      </c>
      <c r="C617">
        <v>15</v>
      </c>
      <c r="D617" t="s">
        <v>64</v>
      </c>
    </row>
    <row r="618" spans="1:4" x14ac:dyDescent="0.2">
      <c r="A618">
        <v>15673</v>
      </c>
      <c r="B618" t="s">
        <v>589</v>
      </c>
      <c r="C618">
        <v>15</v>
      </c>
      <c r="D618" t="s">
        <v>64</v>
      </c>
    </row>
    <row r="619" spans="1:4" x14ac:dyDescent="0.2">
      <c r="A619">
        <v>15676</v>
      </c>
      <c r="B619" t="s">
        <v>590</v>
      </c>
      <c r="C619">
        <v>15</v>
      </c>
      <c r="D619" t="s">
        <v>64</v>
      </c>
    </row>
    <row r="620" spans="1:4" x14ac:dyDescent="0.2">
      <c r="A620">
        <v>15681</v>
      </c>
      <c r="B620" t="s">
        <v>591</v>
      </c>
      <c r="C620">
        <v>15</v>
      </c>
      <c r="D620" t="s">
        <v>64</v>
      </c>
    </row>
    <row r="621" spans="1:4" x14ac:dyDescent="0.2">
      <c r="A621">
        <v>15686</v>
      </c>
      <c r="B621" t="s">
        <v>592</v>
      </c>
      <c r="C621">
        <v>15</v>
      </c>
      <c r="D621" t="s">
        <v>64</v>
      </c>
    </row>
    <row r="622" spans="1:4" x14ac:dyDescent="0.2">
      <c r="A622">
        <v>15690</v>
      </c>
      <c r="B622" t="s">
        <v>593</v>
      </c>
      <c r="C622">
        <v>15</v>
      </c>
      <c r="D622" t="s">
        <v>64</v>
      </c>
    </row>
    <row r="623" spans="1:4" x14ac:dyDescent="0.2">
      <c r="A623">
        <v>15693</v>
      </c>
      <c r="B623" t="s">
        <v>594</v>
      </c>
      <c r="C623">
        <v>15</v>
      </c>
      <c r="D623" t="s">
        <v>64</v>
      </c>
    </row>
    <row r="624" spans="1:4" x14ac:dyDescent="0.2">
      <c r="A624">
        <v>15696</v>
      </c>
      <c r="B624" t="s">
        <v>595</v>
      </c>
      <c r="C624">
        <v>15</v>
      </c>
      <c r="D624" t="s">
        <v>64</v>
      </c>
    </row>
    <row r="625" spans="1:4" x14ac:dyDescent="0.2">
      <c r="A625">
        <v>15720</v>
      </c>
      <c r="B625" t="s">
        <v>596</v>
      </c>
      <c r="C625">
        <v>15</v>
      </c>
      <c r="D625" t="s">
        <v>64</v>
      </c>
    </row>
    <row r="626" spans="1:4" x14ac:dyDescent="0.2">
      <c r="A626">
        <v>15723</v>
      </c>
      <c r="B626" t="s">
        <v>597</v>
      </c>
      <c r="C626">
        <v>15</v>
      </c>
      <c r="D626" t="s">
        <v>64</v>
      </c>
    </row>
    <row r="627" spans="1:4" x14ac:dyDescent="0.2">
      <c r="A627">
        <v>15740</v>
      </c>
      <c r="B627" t="s">
        <v>598</v>
      </c>
      <c r="C627">
        <v>15</v>
      </c>
      <c r="D627" t="s">
        <v>64</v>
      </c>
    </row>
    <row r="628" spans="1:4" x14ac:dyDescent="0.2">
      <c r="A628">
        <v>15753</v>
      </c>
      <c r="B628" t="s">
        <v>599</v>
      </c>
      <c r="C628">
        <v>15</v>
      </c>
      <c r="D628" t="s">
        <v>64</v>
      </c>
    </row>
    <row r="629" spans="1:4" x14ac:dyDescent="0.2">
      <c r="A629">
        <v>15755</v>
      </c>
      <c r="B629" t="s">
        <v>600</v>
      </c>
      <c r="C629">
        <v>15</v>
      </c>
      <c r="D629" t="s">
        <v>64</v>
      </c>
    </row>
    <row r="630" spans="1:4" x14ac:dyDescent="0.2">
      <c r="A630">
        <v>15757</v>
      </c>
      <c r="B630" t="s">
        <v>601</v>
      </c>
      <c r="C630">
        <v>15</v>
      </c>
      <c r="D630" t="s">
        <v>64</v>
      </c>
    </row>
    <row r="631" spans="1:4" x14ac:dyDescent="0.2">
      <c r="A631">
        <v>15762</v>
      </c>
      <c r="B631" t="s">
        <v>602</v>
      </c>
      <c r="C631">
        <v>15</v>
      </c>
      <c r="D631" t="s">
        <v>64</v>
      </c>
    </row>
    <row r="632" spans="1:4" x14ac:dyDescent="0.2">
      <c r="A632">
        <v>15763</v>
      </c>
      <c r="B632" t="s">
        <v>603</v>
      </c>
      <c r="C632">
        <v>15</v>
      </c>
      <c r="D632" t="s">
        <v>64</v>
      </c>
    </row>
    <row r="633" spans="1:4" x14ac:dyDescent="0.2">
      <c r="A633">
        <v>15764</v>
      </c>
      <c r="B633" t="s">
        <v>604</v>
      </c>
      <c r="C633">
        <v>15</v>
      </c>
      <c r="D633" t="s">
        <v>64</v>
      </c>
    </row>
    <row r="634" spans="1:4" x14ac:dyDescent="0.2">
      <c r="A634">
        <v>15774</v>
      </c>
      <c r="B634" t="s">
        <v>605</v>
      </c>
      <c r="C634">
        <v>15</v>
      </c>
      <c r="D634" t="s">
        <v>64</v>
      </c>
    </row>
    <row r="635" spans="1:4" x14ac:dyDescent="0.2">
      <c r="A635">
        <v>15776</v>
      </c>
      <c r="B635" t="s">
        <v>606</v>
      </c>
      <c r="C635">
        <v>15</v>
      </c>
      <c r="D635" t="s">
        <v>64</v>
      </c>
    </row>
    <row r="636" spans="1:4" x14ac:dyDescent="0.2">
      <c r="A636">
        <v>15778</v>
      </c>
      <c r="B636" t="s">
        <v>607</v>
      </c>
      <c r="C636">
        <v>15</v>
      </c>
      <c r="D636" t="s">
        <v>64</v>
      </c>
    </row>
    <row r="637" spans="1:4" x14ac:dyDescent="0.2">
      <c r="A637">
        <v>15790</v>
      </c>
      <c r="B637" t="s">
        <v>608</v>
      </c>
      <c r="C637">
        <v>15</v>
      </c>
      <c r="D637" t="s">
        <v>64</v>
      </c>
    </row>
    <row r="638" spans="1:4" x14ac:dyDescent="0.2">
      <c r="A638">
        <v>15798</v>
      </c>
      <c r="B638" t="s">
        <v>609</v>
      </c>
      <c r="C638">
        <v>15</v>
      </c>
      <c r="D638" t="s">
        <v>64</v>
      </c>
    </row>
    <row r="639" spans="1:4" x14ac:dyDescent="0.2">
      <c r="A639">
        <v>15804</v>
      </c>
      <c r="B639" t="s">
        <v>610</v>
      </c>
      <c r="C639">
        <v>15</v>
      </c>
      <c r="D639" t="s">
        <v>64</v>
      </c>
    </row>
    <row r="640" spans="1:4" x14ac:dyDescent="0.2">
      <c r="A640">
        <v>15806</v>
      </c>
      <c r="B640" t="s">
        <v>611</v>
      </c>
      <c r="C640">
        <v>15</v>
      </c>
      <c r="D640" t="s">
        <v>64</v>
      </c>
    </row>
    <row r="641" spans="1:4" x14ac:dyDescent="0.2">
      <c r="A641">
        <v>15808</v>
      </c>
      <c r="B641" t="s">
        <v>612</v>
      </c>
      <c r="C641">
        <v>15</v>
      </c>
      <c r="D641" t="s">
        <v>64</v>
      </c>
    </row>
    <row r="642" spans="1:4" x14ac:dyDescent="0.2">
      <c r="A642">
        <v>15810</v>
      </c>
      <c r="B642" t="s">
        <v>613</v>
      </c>
      <c r="C642">
        <v>15</v>
      </c>
      <c r="D642" t="s">
        <v>64</v>
      </c>
    </row>
    <row r="643" spans="1:4" x14ac:dyDescent="0.2">
      <c r="A643">
        <v>15814</v>
      </c>
      <c r="B643" t="s">
        <v>614</v>
      </c>
      <c r="C643">
        <v>15</v>
      </c>
      <c r="D643" t="s">
        <v>64</v>
      </c>
    </row>
    <row r="644" spans="1:4" x14ac:dyDescent="0.2">
      <c r="A644">
        <v>15816</v>
      </c>
      <c r="B644" t="s">
        <v>615</v>
      </c>
      <c r="C644">
        <v>15</v>
      </c>
      <c r="D644" t="s">
        <v>64</v>
      </c>
    </row>
    <row r="645" spans="1:4" x14ac:dyDescent="0.2">
      <c r="A645">
        <v>15820</v>
      </c>
      <c r="B645" t="s">
        <v>616</v>
      </c>
      <c r="C645">
        <v>15</v>
      </c>
      <c r="D645" t="s">
        <v>64</v>
      </c>
    </row>
    <row r="646" spans="1:4" x14ac:dyDescent="0.2">
      <c r="A646">
        <v>15822</v>
      </c>
      <c r="B646" t="s">
        <v>617</v>
      </c>
      <c r="C646">
        <v>15</v>
      </c>
      <c r="D646" t="s">
        <v>64</v>
      </c>
    </row>
    <row r="647" spans="1:4" x14ac:dyDescent="0.2">
      <c r="A647">
        <v>15832</v>
      </c>
      <c r="B647" t="s">
        <v>618</v>
      </c>
      <c r="C647">
        <v>15</v>
      </c>
      <c r="D647" t="s">
        <v>64</v>
      </c>
    </row>
    <row r="648" spans="1:4" x14ac:dyDescent="0.2">
      <c r="A648">
        <v>15835</v>
      </c>
      <c r="B648" t="s">
        <v>619</v>
      </c>
      <c r="C648">
        <v>15</v>
      </c>
      <c r="D648" t="s">
        <v>64</v>
      </c>
    </row>
    <row r="649" spans="1:4" x14ac:dyDescent="0.2">
      <c r="A649">
        <v>15839</v>
      </c>
      <c r="B649" t="s">
        <v>620</v>
      </c>
      <c r="C649">
        <v>15</v>
      </c>
      <c r="D649" t="s">
        <v>64</v>
      </c>
    </row>
    <row r="650" spans="1:4" x14ac:dyDescent="0.2">
      <c r="A650">
        <v>15842</v>
      </c>
      <c r="B650" t="s">
        <v>621</v>
      </c>
      <c r="C650">
        <v>15</v>
      </c>
      <c r="D650" t="s">
        <v>64</v>
      </c>
    </row>
    <row r="651" spans="1:4" x14ac:dyDescent="0.2">
      <c r="A651">
        <v>15861</v>
      </c>
      <c r="B651" t="s">
        <v>622</v>
      </c>
      <c r="C651">
        <v>15</v>
      </c>
      <c r="D651" t="s">
        <v>64</v>
      </c>
    </row>
    <row r="652" spans="1:4" x14ac:dyDescent="0.2">
      <c r="A652">
        <v>15879</v>
      </c>
      <c r="B652" t="s">
        <v>623</v>
      </c>
      <c r="C652">
        <v>15</v>
      </c>
      <c r="D652" t="s">
        <v>64</v>
      </c>
    </row>
    <row r="653" spans="1:4" x14ac:dyDescent="0.2">
      <c r="A653">
        <v>15897</v>
      </c>
      <c r="B653" t="s">
        <v>624</v>
      </c>
      <c r="C653">
        <v>15</v>
      </c>
      <c r="D653" t="s">
        <v>64</v>
      </c>
    </row>
    <row r="654" spans="1:4" x14ac:dyDescent="0.2">
      <c r="A654">
        <v>17050</v>
      </c>
      <c r="B654" t="s">
        <v>625</v>
      </c>
      <c r="C654">
        <v>17</v>
      </c>
      <c r="D654" t="s">
        <v>77</v>
      </c>
    </row>
    <row r="655" spans="1:4" x14ac:dyDescent="0.2">
      <c r="A655">
        <v>17388</v>
      </c>
      <c r="B655" t="s">
        <v>626</v>
      </c>
      <c r="C655">
        <v>17</v>
      </c>
      <c r="D655" t="s">
        <v>77</v>
      </c>
    </row>
    <row r="656" spans="1:4" x14ac:dyDescent="0.2">
      <c r="A656">
        <v>17433</v>
      </c>
      <c r="B656" t="s">
        <v>627</v>
      </c>
      <c r="C656">
        <v>17</v>
      </c>
      <c r="D656" t="s">
        <v>77</v>
      </c>
    </row>
    <row r="657" spans="1:4" x14ac:dyDescent="0.2">
      <c r="A657">
        <v>17442</v>
      </c>
      <c r="B657" t="s">
        <v>628</v>
      </c>
      <c r="C657">
        <v>17</v>
      </c>
      <c r="D657" t="s">
        <v>77</v>
      </c>
    </row>
    <row r="658" spans="1:4" x14ac:dyDescent="0.2">
      <c r="A658">
        <v>17444</v>
      </c>
      <c r="B658" t="s">
        <v>629</v>
      </c>
      <c r="C658">
        <v>17</v>
      </c>
      <c r="D658" t="s">
        <v>77</v>
      </c>
    </row>
    <row r="659" spans="1:4" x14ac:dyDescent="0.2">
      <c r="A659">
        <v>17446</v>
      </c>
      <c r="B659" t="s">
        <v>630</v>
      </c>
      <c r="C659">
        <v>17</v>
      </c>
      <c r="D659" t="s">
        <v>77</v>
      </c>
    </row>
    <row r="660" spans="1:4" x14ac:dyDescent="0.2">
      <c r="A660">
        <v>17486</v>
      </c>
      <c r="B660" t="s">
        <v>631</v>
      </c>
      <c r="C660">
        <v>17</v>
      </c>
      <c r="D660" t="s">
        <v>77</v>
      </c>
    </row>
    <row r="661" spans="1:4" x14ac:dyDescent="0.2">
      <c r="A661">
        <v>17495</v>
      </c>
      <c r="B661" t="s">
        <v>632</v>
      </c>
      <c r="C661">
        <v>17</v>
      </c>
      <c r="D661" t="s">
        <v>77</v>
      </c>
    </row>
    <row r="662" spans="1:4" x14ac:dyDescent="0.2">
      <c r="A662">
        <v>17524</v>
      </c>
      <c r="B662" t="s">
        <v>633</v>
      </c>
      <c r="C662">
        <v>17</v>
      </c>
      <c r="D662" t="s">
        <v>77</v>
      </c>
    </row>
    <row r="663" spans="1:4" x14ac:dyDescent="0.2">
      <c r="A663">
        <v>17541</v>
      </c>
      <c r="B663" t="s">
        <v>634</v>
      </c>
      <c r="C663">
        <v>17</v>
      </c>
      <c r="D663" t="s">
        <v>77</v>
      </c>
    </row>
    <row r="664" spans="1:4" x14ac:dyDescent="0.2">
      <c r="A664">
        <v>17662</v>
      </c>
      <c r="B664" t="s">
        <v>635</v>
      </c>
      <c r="C664">
        <v>17</v>
      </c>
      <c r="D664" t="s">
        <v>77</v>
      </c>
    </row>
    <row r="665" spans="1:4" x14ac:dyDescent="0.2">
      <c r="A665">
        <v>17665</v>
      </c>
      <c r="B665" t="s">
        <v>636</v>
      </c>
      <c r="C665">
        <v>17</v>
      </c>
      <c r="D665" t="s">
        <v>77</v>
      </c>
    </row>
    <row r="666" spans="1:4" x14ac:dyDescent="0.2">
      <c r="A666">
        <v>17867</v>
      </c>
      <c r="B666" t="s">
        <v>637</v>
      </c>
      <c r="C666">
        <v>17</v>
      </c>
      <c r="D666" t="s">
        <v>77</v>
      </c>
    </row>
    <row r="667" spans="1:4" x14ac:dyDescent="0.2">
      <c r="A667">
        <v>17873</v>
      </c>
      <c r="B667" t="s">
        <v>638</v>
      </c>
      <c r="C667">
        <v>17</v>
      </c>
      <c r="D667" t="s">
        <v>77</v>
      </c>
    </row>
    <row r="668" spans="1:4" x14ac:dyDescent="0.2">
      <c r="A668">
        <v>18029</v>
      </c>
      <c r="B668" t="s">
        <v>639</v>
      </c>
      <c r="C668">
        <v>18</v>
      </c>
      <c r="D668" t="s">
        <v>92</v>
      </c>
    </row>
    <row r="669" spans="1:4" x14ac:dyDescent="0.2">
      <c r="A669">
        <v>18094</v>
      </c>
      <c r="B669" t="s">
        <v>640</v>
      </c>
      <c r="C669">
        <v>18</v>
      </c>
      <c r="D669" t="s">
        <v>92</v>
      </c>
    </row>
    <row r="670" spans="1:4" x14ac:dyDescent="0.2">
      <c r="A670">
        <v>18150</v>
      </c>
      <c r="B670" t="s">
        <v>641</v>
      </c>
      <c r="C670">
        <v>18</v>
      </c>
      <c r="D670" t="s">
        <v>92</v>
      </c>
    </row>
    <row r="671" spans="1:4" x14ac:dyDescent="0.2">
      <c r="A671">
        <v>18205</v>
      </c>
      <c r="B671" t="s">
        <v>642</v>
      </c>
      <c r="C671">
        <v>18</v>
      </c>
      <c r="D671" t="s">
        <v>92</v>
      </c>
    </row>
    <row r="672" spans="1:4" x14ac:dyDescent="0.2">
      <c r="A672">
        <v>18256</v>
      </c>
      <c r="B672" t="s">
        <v>643</v>
      </c>
      <c r="C672">
        <v>18</v>
      </c>
      <c r="D672" t="s">
        <v>92</v>
      </c>
    </row>
    <row r="673" spans="1:4" x14ac:dyDescent="0.2">
      <c r="A673">
        <v>18410</v>
      </c>
      <c r="B673" t="s">
        <v>644</v>
      </c>
      <c r="C673">
        <v>18</v>
      </c>
      <c r="D673" t="s">
        <v>92</v>
      </c>
    </row>
    <row r="674" spans="1:4" x14ac:dyDescent="0.2">
      <c r="A674">
        <v>18460</v>
      </c>
      <c r="B674" t="s">
        <v>645</v>
      </c>
      <c r="C674">
        <v>18</v>
      </c>
      <c r="D674" t="s">
        <v>92</v>
      </c>
    </row>
    <row r="675" spans="1:4" x14ac:dyDescent="0.2">
      <c r="A675">
        <v>18479</v>
      </c>
      <c r="B675" t="s">
        <v>646</v>
      </c>
      <c r="C675">
        <v>18</v>
      </c>
      <c r="D675" t="s">
        <v>92</v>
      </c>
    </row>
    <row r="676" spans="1:4" x14ac:dyDescent="0.2">
      <c r="A676">
        <v>18592</v>
      </c>
      <c r="B676" t="s">
        <v>647</v>
      </c>
      <c r="C676">
        <v>18</v>
      </c>
      <c r="D676" t="s">
        <v>92</v>
      </c>
    </row>
    <row r="677" spans="1:4" x14ac:dyDescent="0.2">
      <c r="A677">
        <v>18610</v>
      </c>
      <c r="B677" t="s">
        <v>648</v>
      </c>
      <c r="C677">
        <v>18</v>
      </c>
      <c r="D677" t="s">
        <v>92</v>
      </c>
    </row>
    <row r="678" spans="1:4" x14ac:dyDescent="0.2">
      <c r="A678">
        <v>18753</v>
      </c>
      <c r="B678" t="s">
        <v>649</v>
      </c>
      <c r="C678">
        <v>18</v>
      </c>
      <c r="D678" t="s">
        <v>92</v>
      </c>
    </row>
    <row r="679" spans="1:4" x14ac:dyDescent="0.2">
      <c r="A679">
        <v>18756</v>
      </c>
      <c r="B679" t="s">
        <v>650</v>
      </c>
      <c r="C679">
        <v>18</v>
      </c>
      <c r="D679" t="s">
        <v>92</v>
      </c>
    </row>
    <row r="680" spans="1:4" x14ac:dyDescent="0.2">
      <c r="A680">
        <v>18765</v>
      </c>
      <c r="B680" t="s">
        <v>650</v>
      </c>
      <c r="C680">
        <v>18</v>
      </c>
      <c r="D680" t="s">
        <v>92</v>
      </c>
    </row>
    <row r="681" spans="1:4" x14ac:dyDescent="0.2">
      <c r="A681">
        <v>18785</v>
      </c>
      <c r="B681" t="s">
        <v>651</v>
      </c>
      <c r="C681">
        <v>18</v>
      </c>
      <c r="D681" t="s">
        <v>92</v>
      </c>
    </row>
    <row r="682" spans="1:4" x14ac:dyDescent="0.2">
      <c r="A682">
        <v>18860</v>
      </c>
      <c r="B682" t="s">
        <v>464</v>
      </c>
      <c r="C682">
        <v>18</v>
      </c>
      <c r="D682" t="s">
        <v>92</v>
      </c>
    </row>
    <row r="683" spans="1:4" x14ac:dyDescent="0.2">
      <c r="A683">
        <v>19022</v>
      </c>
      <c r="B683" t="s">
        <v>652</v>
      </c>
      <c r="C683">
        <v>19</v>
      </c>
      <c r="D683" t="s">
        <v>95</v>
      </c>
    </row>
    <row r="684" spans="1:4" x14ac:dyDescent="0.2">
      <c r="A684">
        <v>19050</v>
      </c>
      <c r="B684" t="s">
        <v>384</v>
      </c>
      <c r="C684">
        <v>19</v>
      </c>
      <c r="D684" t="s">
        <v>95</v>
      </c>
    </row>
    <row r="685" spans="1:4" x14ac:dyDescent="0.2">
      <c r="A685">
        <v>19075</v>
      </c>
      <c r="B685" t="s">
        <v>653</v>
      </c>
      <c r="C685">
        <v>19</v>
      </c>
      <c r="D685" t="s">
        <v>95</v>
      </c>
    </row>
    <row r="686" spans="1:4" x14ac:dyDescent="0.2">
      <c r="A686">
        <v>19110</v>
      </c>
      <c r="B686" t="s">
        <v>654</v>
      </c>
      <c r="C686">
        <v>19</v>
      </c>
      <c r="D686" t="s">
        <v>95</v>
      </c>
    </row>
    <row r="687" spans="1:4" x14ac:dyDescent="0.2">
      <c r="A687">
        <v>19130</v>
      </c>
      <c r="B687" t="s">
        <v>655</v>
      </c>
      <c r="C687">
        <v>19</v>
      </c>
      <c r="D687" t="s">
        <v>95</v>
      </c>
    </row>
    <row r="688" spans="1:4" x14ac:dyDescent="0.2">
      <c r="A688">
        <v>19137</v>
      </c>
      <c r="B688" t="s">
        <v>656</v>
      </c>
      <c r="C688">
        <v>19</v>
      </c>
      <c r="D688" t="s">
        <v>95</v>
      </c>
    </row>
    <row r="689" spans="1:4" x14ac:dyDescent="0.2">
      <c r="A689">
        <v>19142</v>
      </c>
      <c r="B689" t="s">
        <v>657</v>
      </c>
      <c r="C689">
        <v>19</v>
      </c>
      <c r="D689" t="s">
        <v>95</v>
      </c>
    </row>
    <row r="690" spans="1:4" x14ac:dyDescent="0.2">
      <c r="A690">
        <v>19212</v>
      </c>
      <c r="B690" t="s">
        <v>658</v>
      </c>
      <c r="C690">
        <v>19</v>
      </c>
      <c r="D690" t="s">
        <v>95</v>
      </c>
    </row>
    <row r="691" spans="1:4" x14ac:dyDescent="0.2">
      <c r="A691">
        <v>19290</v>
      </c>
      <c r="B691" t="s">
        <v>659</v>
      </c>
      <c r="C691">
        <v>19</v>
      </c>
      <c r="D691" t="s">
        <v>95</v>
      </c>
    </row>
    <row r="692" spans="1:4" x14ac:dyDescent="0.2">
      <c r="A692">
        <v>19300</v>
      </c>
      <c r="B692" t="s">
        <v>660</v>
      </c>
      <c r="C692">
        <v>19</v>
      </c>
      <c r="D692" t="s">
        <v>95</v>
      </c>
    </row>
    <row r="693" spans="1:4" x14ac:dyDescent="0.2">
      <c r="A693">
        <v>19318</v>
      </c>
      <c r="B693" t="s">
        <v>661</v>
      </c>
      <c r="C693">
        <v>19</v>
      </c>
      <c r="D693" t="s">
        <v>95</v>
      </c>
    </row>
    <row r="694" spans="1:4" x14ac:dyDescent="0.2">
      <c r="A694">
        <v>19355</v>
      </c>
      <c r="B694" t="s">
        <v>662</v>
      </c>
      <c r="C694">
        <v>19</v>
      </c>
      <c r="D694" t="s">
        <v>95</v>
      </c>
    </row>
    <row r="695" spans="1:4" x14ac:dyDescent="0.2">
      <c r="A695">
        <v>19392</v>
      </c>
      <c r="B695" t="s">
        <v>663</v>
      </c>
      <c r="C695">
        <v>19</v>
      </c>
      <c r="D695" t="s">
        <v>95</v>
      </c>
    </row>
    <row r="696" spans="1:4" x14ac:dyDescent="0.2">
      <c r="A696">
        <v>19397</v>
      </c>
      <c r="B696" t="s">
        <v>664</v>
      </c>
      <c r="C696">
        <v>19</v>
      </c>
      <c r="D696" t="s">
        <v>95</v>
      </c>
    </row>
    <row r="697" spans="1:4" x14ac:dyDescent="0.2">
      <c r="A697">
        <v>19418</v>
      </c>
      <c r="B697" t="s">
        <v>665</v>
      </c>
      <c r="C697">
        <v>19</v>
      </c>
      <c r="D697" t="s">
        <v>95</v>
      </c>
    </row>
    <row r="698" spans="1:4" x14ac:dyDescent="0.2">
      <c r="A698">
        <v>19450</v>
      </c>
      <c r="B698" t="s">
        <v>666</v>
      </c>
      <c r="C698">
        <v>19</v>
      </c>
      <c r="D698" t="s">
        <v>95</v>
      </c>
    </row>
    <row r="699" spans="1:4" x14ac:dyDescent="0.2">
      <c r="A699">
        <v>19455</v>
      </c>
      <c r="B699" t="s">
        <v>667</v>
      </c>
      <c r="C699">
        <v>19</v>
      </c>
      <c r="D699" t="s">
        <v>95</v>
      </c>
    </row>
    <row r="700" spans="1:4" x14ac:dyDescent="0.2">
      <c r="A700">
        <v>19473</v>
      </c>
      <c r="B700" t="s">
        <v>498</v>
      </c>
      <c r="C700">
        <v>19</v>
      </c>
      <c r="D700" t="s">
        <v>95</v>
      </c>
    </row>
    <row r="701" spans="1:4" x14ac:dyDescent="0.2">
      <c r="A701">
        <v>19513</v>
      </c>
      <c r="B701" t="s">
        <v>668</v>
      </c>
      <c r="C701">
        <v>19</v>
      </c>
      <c r="D701" t="s">
        <v>95</v>
      </c>
    </row>
    <row r="702" spans="1:4" x14ac:dyDescent="0.2">
      <c r="A702">
        <v>19517</v>
      </c>
      <c r="B702" t="s">
        <v>570</v>
      </c>
      <c r="C702">
        <v>19</v>
      </c>
      <c r="D702" t="s">
        <v>95</v>
      </c>
    </row>
    <row r="703" spans="1:4" x14ac:dyDescent="0.2">
      <c r="A703">
        <v>19532</v>
      </c>
      <c r="B703" t="s">
        <v>669</v>
      </c>
      <c r="C703">
        <v>19</v>
      </c>
      <c r="D703" t="s">
        <v>95</v>
      </c>
    </row>
    <row r="704" spans="1:4" x14ac:dyDescent="0.2">
      <c r="A704">
        <v>19533</v>
      </c>
      <c r="B704" t="s">
        <v>670</v>
      </c>
      <c r="C704">
        <v>19</v>
      </c>
      <c r="D704" t="s">
        <v>95</v>
      </c>
    </row>
    <row r="705" spans="1:4" x14ac:dyDescent="0.2">
      <c r="A705">
        <v>19573</v>
      </c>
      <c r="B705" t="s">
        <v>671</v>
      </c>
      <c r="C705">
        <v>19</v>
      </c>
      <c r="D705" t="s">
        <v>95</v>
      </c>
    </row>
    <row r="706" spans="1:4" x14ac:dyDescent="0.2">
      <c r="A706">
        <v>19585</v>
      </c>
      <c r="B706" t="s">
        <v>672</v>
      </c>
      <c r="C706">
        <v>19</v>
      </c>
      <c r="D706" t="s">
        <v>95</v>
      </c>
    </row>
    <row r="707" spans="1:4" x14ac:dyDescent="0.2">
      <c r="A707">
        <v>19693</v>
      </c>
      <c r="B707" t="s">
        <v>673</v>
      </c>
      <c r="C707">
        <v>19</v>
      </c>
      <c r="D707" t="s">
        <v>95</v>
      </c>
    </row>
    <row r="708" spans="1:4" x14ac:dyDescent="0.2">
      <c r="A708">
        <v>19701</v>
      </c>
      <c r="B708" t="s">
        <v>674</v>
      </c>
      <c r="C708">
        <v>19</v>
      </c>
      <c r="D708" t="s">
        <v>95</v>
      </c>
    </row>
    <row r="709" spans="1:4" x14ac:dyDescent="0.2">
      <c r="A709">
        <v>19760</v>
      </c>
      <c r="B709" t="s">
        <v>675</v>
      </c>
      <c r="C709">
        <v>19</v>
      </c>
      <c r="D709" t="s">
        <v>95</v>
      </c>
    </row>
    <row r="710" spans="1:4" x14ac:dyDescent="0.2">
      <c r="A710">
        <v>19780</v>
      </c>
      <c r="B710" t="s">
        <v>676</v>
      </c>
      <c r="C710">
        <v>19</v>
      </c>
      <c r="D710" t="s">
        <v>95</v>
      </c>
    </row>
    <row r="711" spans="1:4" x14ac:dyDescent="0.2">
      <c r="A711">
        <v>19785</v>
      </c>
      <c r="B711" t="s">
        <v>254</v>
      </c>
      <c r="C711">
        <v>19</v>
      </c>
      <c r="D711" t="s">
        <v>95</v>
      </c>
    </row>
    <row r="712" spans="1:4" x14ac:dyDescent="0.2">
      <c r="A712">
        <v>19807</v>
      </c>
      <c r="B712" t="s">
        <v>677</v>
      </c>
      <c r="C712">
        <v>19</v>
      </c>
      <c r="D712" t="s">
        <v>95</v>
      </c>
    </row>
    <row r="713" spans="1:4" x14ac:dyDescent="0.2">
      <c r="A713">
        <v>19809</v>
      </c>
      <c r="B713" t="s">
        <v>678</v>
      </c>
      <c r="C713">
        <v>19</v>
      </c>
      <c r="D713" t="s">
        <v>95</v>
      </c>
    </row>
    <row r="714" spans="1:4" x14ac:dyDescent="0.2">
      <c r="A714">
        <v>19824</v>
      </c>
      <c r="B714" t="s">
        <v>679</v>
      </c>
      <c r="C714">
        <v>19</v>
      </c>
      <c r="D714" t="s">
        <v>95</v>
      </c>
    </row>
    <row r="715" spans="1:4" x14ac:dyDescent="0.2">
      <c r="A715">
        <v>19845</v>
      </c>
      <c r="B715" t="s">
        <v>680</v>
      </c>
      <c r="C715">
        <v>19</v>
      </c>
      <c r="D715" t="s">
        <v>95</v>
      </c>
    </row>
    <row r="716" spans="1:4" x14ac:dyDescent="0.2">
      <c r="A716">
        <v>20013</v>
      </c>
      <c r="B716" t="s">
        <v>681</v>
      </c>
      <c r="C716">
        <v>20</v>
      </c>
      <c r="D716" t="s">
        <v>105</v>
      </c>
    </row>
    <row r="717" spans="1:4" x14ac:dyDescent="0.2">
      <c r="A717">
        <v>20032</v>
      </c>
      <c r="B717" t="s">
        <v>682</v>
      </c>
      <c r="C717">
        <v>20</v>
      </c>
      <c r="D717" t="s">
        <v>105</v>
      </c>
    </row>
    <row r="718" spans="1:4" x14ac:dyDescent="0.2">
      <c r="A718">
        <v>20175</v>
      </c>
      <c r="B718" t="s">
        <v>683</v>
      </c>
      <c r="C718">
        <v>20</v>
      </c>
      <c r="D718" t="s">
        <v>105</v>
      </c>
    </row>
    <row r="719" spans="1:4" x14ac:dyDescent="0.2">
      <c r="A719">
        <v>20178</v>
      </c>
      <c r="B719" t="s">
        <v>684</v>
      </c>
      <c r="C719">
        <v>20</v>
      </c>
      <c r="D719" t="s">
        <v>105</v>
      </c>
    </row>
    <row r="720" spans="1:4" x14ac:dyDescent="0.2">
      <c r="A720">
        <v>20228</v>
      </c>
      <c r="B720" t="s">
        <v>685</v>
      </c>
      <c r="C720">
        <v>20</v>
      </c>
      <c r="D720" t="s">
        <v>105</v>
      </c>
    </row>
    <row r="721" spans="1:4" x14ac:dyDescent="0.2">
      <c r="A721">
        <v>20238</v>
      </c>
      <c r="B721" t="s">
        <v>686</v>
      </c>
      <c r="C721">
        <v>20</v>
      </c>
      <c r="D721" t="s">
        <v>105</v>
      </c>
    </row>
    <row r="722" spans="1:4" x14ac:dyDescent="0.2">
      <c r="A722">
        <v>20250</v>
      </c>
      <c r="B722" t="s">
        <v>687</v>
      </c>
      <c r="C722">
        <v>20</v>
      </c>
      <c r="D722" t="s">
        <v>105</v>
      </c>
    </row>
    <row r="723" spans="1:4" x14ac:dyDescent="0.2">
      <c r="A723">
        <v>20295</v>
      </c>
      <c r="B723" t="s">
        <v>688</v>
      </c>
      <c r="C723">
        <v>20</v>
      </c>
      <c r="D723" t="s">
        <v>105</v>
      </c>
    </row>
    <row r="724" spans="1:4" x14ac:dyDescent="0.2">
      <c r="A724">
        <v>20310</v>
      </c>
      <c r="B724" t="s">
        <v>689</v>
      </c>
      <c r="C724">
        <v>20</v>
      </c>
      <c r="D724" t="s">
        <v>105</v>
      </c>
    </row>
    <row r="725" spans="1:4" x14ac:dyDescent="0.2">
      <c r="A725">
        <v>20383</v>
      </c>
      <c r="B725" t="s">
        <v>690</v>
      </c>
      <c r="C725">
        <v>20</v>
      </c>
      <c r="D725" t="s">
        <v>105</v>
      </c>
    </row>
    <row r="726" spans="1:4" x14ac:dyDescent="0.2">
      <c r="A726">
        <v>20443</v>
      </c>
      <c r="B726" t="s">
        <v>691</v>
      </c>
      <c r="C726">
        <v>20</v>
      </c>
      <c r="D726" t="s">
        <v>105</v>
      </c>
    </row>
    <row r="727" spans="1:4" x14ac:dyDescent="0.2">
      <c r="A727">
        <v>20550</v>
      </c>
      <c r="B727" t="s">
        <v>692</v>
      </c>
      <c r="C727">
        <v>20</v>
      </c>
      <c r="D727" t="s">
        <v>105</v>
      </c>
    </row>
    <row r="728" spans="1:4" x14ac:dyDescent="0.2">
      <c r="A728">
        <v>20570</v>
      </c>
      <c r="B728" t="s">
        <v>693</v>
      </c>
      <c r="C728">
        <v>20</v>
      </c>
      <c r="D728" t="s">
        <v>105</v>
      </c>
    </row>
    <row r="729" spans="1:4" x14ac:dyDescent="0.2">
      <c r="A729">
        <v>20614</v>
      </c>
      <c r="B729" t="s">
        <v>694</v>
      </c>
      <c r="C729">
        <v>20</v>
      </c>
      <c r="D729" t="s">
        <v>105</v>
      </c>
    </row>
    <row r="730" spans="1:4" x14ac:dyDescent="0.2">
      <c r="A730">
        <v>20770</v>
      </c>
      <c r="B730" t="s">
        <v>695</v>
      </c>
      <c r="C730">
        <v>20</v>
      </c>
      <c r="D730" t="s">
        <v>105</v>
      </c>
    </row>
    <row r="731" spans="1:4" x14ac:dyDescent="0.2">
      <c r="A731">
        <v>20787</v>
      </c>
      <c r="B731" t="s">
        <v>696</v>
      </c>
      <c r="C731">
        <v>20</v>
      </c>
      <c r="D731" t="s">
        <v>105</v>
      </c>
    </row>
    <row r="732" spans="1:4" x14ac:dyDescent="0.2">
      <c r="A732">
        <v>23068</v>
      </c>
      <c r="B732" t="s">
        <v>697</v>
      </c>
      <c r="C732">
        <v>23</v>
      </c>
      <c r="D732" t="s">
        <v>115</v>
      </c>
    </row>
    <row r="733" spans="1:4" x14ac:dyDescent="0.2">
      <c r="A733">
        <v>23079</v>
      </c>
      <c r="B733" t="s">
        <v>523</v>
      </c>
      <c r="C733">
        <v>23</v>
      </c>
      <c r="D733" t="s">
        <v>115</v>
      </c>
    </row>
    <row r="734" spans="1:4" x14ac:dyDescent="0.2">
      <c r="A734">
        <v>23090</v>
      </c>
      <c r="B734" t="s">
        <v>698</v>
      </c>
      <c r="C734">
        <v>23</v>
      </c>
      <c r="D734" t="s">
        <v>115</v>
      </c>
    </row>
    <row r="735" spans="1:4" x14ac:dyDescent="0.2">
      <c r="A735">
        <v>23168</v>
      </c>
      <c r="B735" t="s">
        <v>699</v>
      </c>
      <c r="C735">
        <v>23</v>
      </c>
      <c r="D735" t="s">
        <v>115</v>
      </c>
    </row>
    <row r="736" spans="1:4" x14ac:dyDescent="0.2">
      <c r="A736">
        <v>23300</v>
      </c>
      <c r="B736" t="s">
        <v>700</v>
      </c>
      <c r="C736">
        <v>23</v>
      </c>
      <c r="D736" t="s">
        <v>115</v>
      </c>
    </row>
    <row r="737" spans="1:4" x14ac:dyDescent="0.2">
      <c r="A737">
        <v>23350</v>
      </c>
      <c r="B737" t="s">
        <v>701</v>
      </c>
      <c r="C737">
        <v>23</v>
      </c>
      <c r="D737" t="s">
        <v>115</v>
      </c>
    </row>
    <row r="738" spans="1:4" x14ac:dyDescent="0.2">
      <c r="A738">
        <v>23464</v>
      </c>
      <c r="B738" t="s">
        <v>702</v>
      </c>
      <c r="C738">
        <v>23</v>
      </c>
      <c r="D738" t="s">
        <v>115</v>
      </c>
    </row>
    <row r="739" spans="1:4" x14ac:dyDescent="0.2">
      <c r="A739">
        <v>23466</v>
      </c>
      <c r="B739" t="s">
        <v>703</v>
      </c>
      <c r="C739">
        <v>23</v>
      </c>
      <c r="D739" t="s">
        <v>115</v>
      </c>
    </row>
    <row r="740" spans="1:4" x14ac:dyDescent="0.2">
      <c r="A740">
        <v>23500</v>
      </c>
      <c r="B740" t="s">
        <v>704</v>
      </c>
      <c r="C740">
        <v>23</v>
      </c>
      <c r="D740" t="s">
        <v>115</v>
      </c>
    </row>
    <row r="741" spans="1:4" x14ac:dyDescent="0.2">
      <c r="A741">
        <v>23570</v>
      </c>
      <c r="B741" t="s">
        <v>705</v>
      </c>
      <c r="C741">
        <v>23</v>
      </c>
      <c r="D741" t="s">
        <v>115</v>
      </c>
    </row>
    <row r="742" spans="1:4" x14ac:dyDescent="0.2">
      <c r="A742">
        <v>23580</v>
      </c>
      <c r="B742" t="s">
        <v>706</v>
      </c>
      <c r="C742">
        <v>23</v>
      </c>
      <c r="D742" t="s">
        <v>115</v>
      </c>
    </row>
    <row r="743" spans="1:4" x14ac:dyDescent="0.2">
      <c r="A743">
        <v>23586</v>
      </c>
      <c r="B743" t="s">
        <v>707</v>
      </c>
      <c r="C743">
        <v>23</v>
      </c>
      <c r="D743" t="s">
        <v>115</v>
      </c>
    </row>
    <row r="744" spans="1:4" x14ac:dyDescent="0.2">
      <c r="A744">
        <v>23670</v>
      </c>
      <c r="B744" t="s">
        <v>708</v>
      </c>
      <c r="C744">
        <v>23</v>
      </c>
      <c r="D744" t="s">
        <v>115</v>
      </c>
    </row>
    <row r="745" spans="1:4" x14ac:dyDescent="0.2">
      <c r="A745">
        <v>23672</v>
      </c>
      <c r="B745" t="s">
        <v>709</v>
      </c>
      <c r="C745">
        <v>23</v>
      </c>
      <c r="D745" t="s">
        <v>115</v>
      </c>
    </row>
    <row r="746" spans="1:4" x14ac:dyDescent="0.2">
      <c r="A746">
        <v>23675</v>
      </c>
      <c r="B746" t="s">
        <v>710</v>
      </c>
      <c r="C746">
        <v>23</v>
      </c>
      <c r="D746" t="s">
        <v>115</v>
      </c>
    </row>
    <row r="747" spans="1:4" x14ac:dyDescent="0.2">
      <c r="A747">
        <v>23678</v>
      </c>
      <c r="B747" t="s">
        <v>439</v>
      </c>
      <c r="C747">
        <v>23</v>
      </c>
      <c r="D747" t="s">
        <v>115</v>
      </c>
    </row>
    <row r="748" spans="1:4" x14ac:dyDescent="0.2">
      <c r="A748">
        <v>23682</v>
      </c>
      <c r="B748" t="s">
        <v>711</v>
      </c>
      <c r="C748">
        <v>23</v>
      </c>
      <c r="D748" t="s">
        <v>115</v>
      </c>
    </row>
    <row r="749" spans="1:4" x14ac:dyDescent="0.2">
      <c r="A749">
        <v>23815</v>
      </c>
      <c r="B749" t="s">
        <v>712</v>
      </c>
      <c r="C749">
        <v>23</v>
      </c>
      <c r="D749" t="s">
        <v>115</v>
      </c>
    </row>
    <row r="750" spans="1:4" x14ac:dyDescent="0.2">
      <c r="A750">
        <v>23855</v>
      </c>
      <c r="B750" t="s">
        <v>713</v>
      </c>
      <c r="C750">
        <v>23</v>
      </c>
      <c r="D750" t="s">
        <v>115</v>
      </c>
    </row>
    <row r="751" spans="1:4" x14ac:dyDescent="0.2">
      <c r="A751">
        <v>25019</v>
      </c>
      <c r="B751" t="s">
        <v>714</v>
      </c>
      <c r="C751">
        <v>25</v>
      </c>
      <c r="D751" t="s">
        <v>127</v>
      </c>
    </row>
    <row r="752" spans="1:4" x14ac:dyDescent="0.2">
      <c r="A752">
        <v>25035</v>
      </c>
      <c r="B752" t="s">
        <v>715</v>
      </c>
      <c r="C752">
        <v>25</v>
      </c>
      <c r="D752" t="s">
        <v>127</v>
      </c>
    </row>
    <row r="753" spans="1:4" x14ac:dyDescent="0.2">
      <c r="A753">
        <v>25053</v>
      </c>
      <c r="B753" t="s">
        <v>716</v>
      </c>
      <c r="C753">
        <v>25</v>
      </c>
      <c r="D753" t="s">
        <v>127</v>
      </c>
    </row>
    <row r="754" spans="1:4" x14ac:dyDescent="0.2">
      <c r="A754">
        <v>25086</v>
      </c>
      <c r="B754" t="s">
        <v>717</v>
      </c>
      <c r="C754">
        <v>25</v>
      </c>
      <c r="D754" t="s">
        <v>127</v>
      </c>
    </row>
    <row r="755" spans="1:4" x14ac:dyDescent="0.2">
      <c r="A755">
        <v>25095</v>
      </c>
      <c r="B755" t="s">
        <v>718</v>
      </c>
      <c r="C755">
        <v>25</v>
      </c>
      <c r="D755" t="s">
        <v>127</v>
      </c>
    </row>
    <row r="756" spans="1:4" x14ac:dyDescent="0.2">
      <c r="A756">
        <v>25099</v>
      </c>
      <c r="B756" t="s">
        <v>719</v>
      </c>
      <c r="C756">
        <v>25</v>
      </c>
      <c r="D756" t="s">
        <v>127</v>
      </c>
    </row>
    <row r="757" spans="1:4" x14ac:dyDescent="0.2">
      <c r="A757">
        <v>25120</v>
      </c>
      <c r="B757" t="s">
        <v>720</v>
      </c>
      <c r="C757">
        <v>25</v>
      </c>
      <c r="D757" t="s">
        <v>127</v>
      </c>
    </row>
    <row r="758" spans="1:4" x14ac:dyDescent="0.2">
      <c r="A758">
        <v>25148</v>
      </c>
      <c r="B758" t="s">
        <v>721</v>
      </c>
      <c r="C758">
        <v>25</v>
      </c>
      <c r="D758" t="s">
        <v>127</v>
      </c>
    </row>
    <row r="759" spans="1:4" x14ac:dyDescent="0.2">
      <c r="A759">
        <v>25154</v>
      </c>
      <c r="B759" t="s">
        <v>722</v>
      </c>
      <c r="C759">
        <v>25</v>
      </c>
      <c r="D759" t="s">
        <v>127</v>
      </c>
    </row>
    <row r="760" spans="1:4" x14ac:dyDescent="0.2">
      <c r="A760">
        <v>25183</v>
      </c>
      <c r="B760" t="s">
        <v>723</v>
      </c>
      <c r="C760">
        <v>25</v>
      </c>
      <c r="D760" t="s">
        <v>127</v>
      </c>
    </row>
    <row r="761" spans="1:4" x14ac:dyDescent="0.2">
      <c r="A761">
        <v>25200</v>
      </c>
      <c r="B761" t="s">
        <v>724</v>
      </c>
      <c r="C761">
        <v>25</v>
      </c>
      <c r="D761" t="s">
        <v>127</v>
      </c>
    </row>
    <row r="762" spans="1:4" x14ac:dyDescent="0.2">
      <c r="A762">
        <v>25224</v>
      </c>
      <c r="B762" t="s">
        <v>725</v>
      </c>
      <c r="C762">
        <v>25</v>
      </c>
      <c r="D762" t="s">
        <v>127</v>
      </c>
    </row>
    <row r="763" spans="1:4" x14ac:dyDescent="0.2">
      <c r="A763">
        <v>25245</v>
      </c>
      <c r="B763" t="s">
        <v>726</v>
      </c>
      <c r="C763">
        <v>25</v>
      </c>
      <c r="D763" t="s">
        <v>127</v>
      </c>
    </row>
    <row r="764" spans="1:4" x14ac:dyDescent="0.2">
      <c r="A764">
        <v>25258</v>
      </c>
      <c r="B764" t="s">
        <v>727</v>
      </c>
      <c r="C764">
        <v>25</v>
      </c>
      <c r="D764" t="s">
        <v>127</v>
      </c>
    </row>
    <row r="765" spans="1:4" x14ac:dyDescent="0.2">
      <c r="A765">
        <v>25260</v>
      </c>
      <c r="B765" t="s">
        <v>728</v>
      </c>
      <c r="C765">
        <v>25</v>
      </c>
      <c r="D765" t="s">
        <v>127</v>
      </c>
    </row>
    <row r="766" spans="1:4" x14ac:dyDescent="0.2">
      <c r="A766">
        <v>25281</v>
      </c>
      <c r="B766" t="s">
        <v>729</v>
      </c>
      <c r="C766">
        <v>25</v>
      </c>
      <c r="D766" t="s">
        <v>127</v>
      </c>
    </row>
    <row r="767" spans="1:4" x14ac:dyDescent="0.2">
      <c r="A767">
        <v>25288</v>
      </c>
      <c r="B767" t="s">
        <v>730</v>
      </c>
      <c r="C767">
        <v>25</v>
      </c>
      <c r="D767" t="s">
        <v>127</v>
      </c>
    </row>
    <row r="768" spans="1:4" x14ac:dyDescent="0.2">
      <c r="A768">
        <v>25293</v>
      </c>
      <c r="B768" t="s">
        <v>731</v>
      </c>
      <c r="C768">
        <v>25</v>
      </c>
      <c r="D768" t="s">
        <v>127</v>
      </c>
    </row>
    <row r="769" spans="1:4" x14ac:dyDescent="0.2">
      <c r="A769">
        <v>25295</v>
      </c>
      <c r="B769" t="s">
        <v>732</v>
      </c>
      <c r="C769">
        <v>25</v>
      </c>
      <c r="D769" t="s">
        <v>127</v>
      </c>
    </row>
    <row r="770" spans="1:4" x14ac:dyDescent="0.2">
      <c r="A770">
        <v>25299</v>
      </c>
      <c r="B770" t="s">
        <v>733</v>
      </c>
      <c r="C770">
        <v>25</v>
      </c>
      <c r="D770" t="s">
        <v>127</v>
      </c>
    </row>
    <row r="771" spans="1:4" x14ac:dyDescent="0.2">
      <c r="A771">
        <v>25312</v>
      </c>
      <c r="B771" t="s">
        <v>408</v>
      </c>
      <c r="C771">
        <v>25</v>
      </c>
      <c r="D771" t="s">
        <v>127</v>
      </c>
    </row>
    <row r="772" spans="1:4" x14ac:dyDescent="0.2">
      <c r="A772">
        <v>25317</v>
      </c>
      <c r="B772" t="s">
        <v>734</v>
      </c>
      <c r="C772">
        <v>25</v>
      </c>
      <c r="D772" t="s">
        <v>127</v>
      </c>
    </row>
    <row r="773" spans="1:4" x14ac:dyDescent="0.2">
      <c r="A773">
        <v>25320</v>
      </c>
      <c r="B773" t="s">
        <v>735</v>
      </c>
      <c r="C773">
        <v>25</v>
      </c>
      <c r="D773" t="s">
        <v>127</v>
      </c>
    </row>
    <row r="774" spans="1:4" x14ac:dyDescent="0.2">
      <c r="A774">
        <v>25322</v>
      </c>
      <c r="B774" t="s">
        <v>736</v>
      </c>
      <c r="C774">
        <v>25</v>
      </c>
      <c r="D774" t="s">
        <v>127</v>
      </c>
    </row>
    <row r="775" spans="1:4" x14ac:dyDescent="0.2">
      <c r="A775">
        <v>25324</v>
      </c>
      <c r="B775" t="s">
        <v>737</v>
      </c>
      <c r="C775">
        <v>25</v>
      </c>
      <c r="D775" t="s">
        <v>127</v>
      </c>
    </row>
    <row r="776" spans="1:4" x14ac:dyDescent="0.2">
      <c r="A776">
        <v>25326</v>
      </c>
      <c r="B776" t="s">
        <v>738</v>
      </c>
      <c r="C776">
        <v>25</v>
      </c>
      <c r="D776" t="s">
        <v>127</v>
      </c>
    </row>
    <row r="777" spans="1:4" x14ac:dyDescent="0.2">
      <c r="A777">
        <v>25328</v>
      </c>
      <c r="B777" t="s">
        <v>739</v>
      </c>
      <c r="C777">
        <v>25</v>
      </c>
      <c r="D777" t="s">
        <v>127</v>
      </c>
    </row>
    <row r="778" spans="1:4" x14ac:dyDescent="0.2">
      <c r="A778">
        <v>25335</v>
      </c>
      <c r="B778" t="s">
        <v>740</v>
      </c>
      <c r="C778">
        <v>25</v>
      </c>
      <c r="D778" t="s">
        <v>127</v>
      </c>
    </row>
    <row r="779" spans="1:4" x14ac:dyDescent="0.2">
      <c r="A779">
        <v>25339</v>
      </c>
      <c r="B779" t="s">
        <v>741</v>
      </c>
      <c r="C779">
        <v>25</v>
      </c>
      <c r="D779" t="s">
        <v>127</v>
      </c>
    </row>
    <row r="780" spans="1:4" x14ac:dyDescent="0.2">
      <c r="A780">
        <v>25368</v>
      </c>
      <c r="B780" t="s">
        <v>742</v>
      </c>
      <c r="C780">
        <v>25</v>
      </c>
      <c r="D780" t="s">
        <v>127</v>
      </c>
    </row>
    <row r="781" spans="1:4" x14ac:dyDescent="0.2">
      <c r="A781">
        <v>25372</v>
      </c>
      <c r="B781" t="s">
        <v>743</v>
      </c>
      <c r="C781">
        <v>25</v>
      </c>
      <c r="D781" t="s">
        <v>127</v>
      </c>
    </row>
    <row r="782" spans="1:4" x14ac:dyDescent="0.2">
      <c r="A782">
        <v>25377</v>
      </c>
      <c r="B782" t="s">
        <v>744</v>
      </c>
      <c r="C782">
        <v>25</v>
      </c>
      <c r="D782" t="s">
        <v>127</v>
      </c>
    </row>
    <row r="783" spans="1:4" x14ac:dyDescent="0.2">
      <c r="A783">
        <v>25386</v>
      </c>
      <c r="B783" t="s">
        <v>745</v>
      </c>
      <c r="C783">
        <v>25</v>
      </c>
      <c r="D783" t="s">
        <v>127</v>
      </c>
    </row>
    <row r="784" spans="1:4" x14ac:dyDescent="0.2">
      <c r="A784">
        <v>25394</v>
      </c>
      <c r="B784" t="s">
        <v>746</v>
      </c>
      <c r="C784">
        <v>25</v>
      </c>
      <c r="D784" t="s">
        <v>127</v>
      </c>
    </row>
    <row r="785" spans="1:4" x14ac:dyDescent="0.2">
      <c r="A785">
        <v>25398</v>
      </c>
      <c r="B785" t="s">
        <v>747</v>
      </c>
      <c r="C785">
        <v>25</v>
      </c>
      <c r="D785" t="s">
        <v>127</v>
      </c>
    </row>
    <row r="786" spans="1:4" x14ac:dyDescent="0.2">
      <c r="A786">
        <v>25402</v>
      </c>
      <c r="B786" t="s">
        <v>664</v>
      </c>
      <c r="C786">
        <v>25</v>
      </c>
      <c r="D786" t="s">
        <v>127</v>
      </c>
    </row>
    <row r="787" spans="1:4" x14ac:dyDescent="0.2">
      <c r="A787">
        <v>25407</v>
      </c>
      <c r="B787" t="s">
        <v>748</v>
      </c>
      <c r="C787">
        <v>25</v>
      </c>
      <c r="D787" t="s">
        <v>127</v>
      </c>
    </row>
    <row r="788" spans="1:4" x14ac:dyDescent="0.2">
      <c r="A788">
        <v>25426</v>
      </c>
      <c r="B788" t="s">
        <v>749</v>
      </c>
      <c r="C788">
        <v>25</v>
      </c>
      <c r="D788" t="s">
        <v>127</v>
      </c>
    </row>
    <row r="789" spans="1:4" x14ac:dyDescent="0.2">
      <c r="A789">
        <v>25430</v>
      </c>
      <c r="B789" t="s">
        <v>750</v>
      </c>
      <c r="C789">
        <v>25</v>
      </c>
      <c r="D789" t="s">
        <v>127</v>
      </c>
    </row>
    <row r="790" spans="1:4" x14ac:dyDescent="0.2">
      <c r="A790">
        <v>25436</v>
      </c>
      <c r="B790" t="s">
        <v>751</v>
      </c>
      <c r="C790">
        <v>25</v>
      </c>
      <c r="D790" t="s">
        <v>127</v>
      </c>
    </row>
    <row r="791" spans="1:4" x14ac:dyDescent="0.2">
      <c r="A791">
        <v>25438</v>
      </c>
      <c r="B791" t="s">
        <v>752</v>
      </c>
      <c r="C791">
        <v>25</v>
      </c>
      <c r="D791" t="s">
        <v>127</v>
      </c>
    </row>
    <row r="792" spans="1:4" x14ac:dyDescent="0.2">
      <c r="A792">
        <v>25473</v>
      </c>
      <c r="B792" t="s">
        <v>753</v>
      </c>
      <c r="C792">
        <v>25</v>
      </c>
      <c r="D792" t="s">
        <v>127</v>
      </c>
    </row>
    <row r="793" spans="1:4" x14ac:dyDescent="0.2">
      <c r="A793">
        <v>25483</v>
      </c>
      <c r="B793" t="s">
        <v>194</v>
      </c>
      <c r="C793">
        <v>25</v>
      </c>
      <c r="D793" t="s">
        <v>127</v>
      </c>
    </row>
    <row r="794" spans="1:4" x14ac:dyDescent="0.2">
      <c r="A794">
        <v>25486</v>
      </c>
      <c r="B794" t="s">
        <v>754</v>
      </c>
      <c r="C794">
        <v>25</v>
      </c>
      <c r="D794" t="s">
        <v>127</v>
      </c>
    </row>
    <row r="795" spans="1:4" x14ac:dyDescent="0.2">
      <c r="A795">
        <v>25488</v>
      </c>
      <c r="B795" t="s">
        <v>755</v>
      </c>
      <c r="C795">
        <v>25</v>
      </c>
      <c r="D795" t="s">
        <v>127</v>
      </c>
    </row>
    <row r="796" spans="1:4" x14ac:dyDescent="0.2">
      <c r="A796">
        <v>25489</v>
      </c>
      <c r="B796" t="s">
        <v>756</v>
      </c>
      <c r="C796">
        <v>25</v>
      </c>
      <c r="D796" t="s">
        <v>127</v>
      </c>
    </row>
    <row r="797" spans="1:4" x14ac:dyDescent="0.2">
      <c r="A797">
        <v>25491</v>
      </c>
      <c r="B797" t="s">
        <v>757</v>
      </c>
      <c r="C797">
        <v>25</v>
      </c>
      <c r="D797" t="s">
        <v>127</v>
      </c>
    </row>
    <row r="798" spans="1:4" x14ac:dyDescent="0.2">
      <c r="A798">
        <v>25506</v>
      </c>
      <c r="B798" t="s">
        <v>758</v>
      </c>
      <c r="C798">
        <v>25</v>
      </c>
      <c r="D798" t="s">
        <v>127</v>
      </c>
    </row>
    <row r="799" spans="1:4" x14ac:dyDescent="0.2">
      <c r="A799">
        <v>25513</v>
      </c>
      <c r="B799" t="s">
        <v>759</v>
      </c>
      <c r="C799">
        <v>25</v>
      </c>
      <c r="D799" t="s">
        <v>127</v>
      </c>
    </row>
    <row r="800" spans="1:4" x14ac:dyDescent="0.2">
      <c r="A800">
        <v>25518</v>
      </c>
      <c r="B800" t="s">
        <v>760</v>
      </c>
      <c r="C800">
        <v>25</v>
      </c>
      <c r="D800" t="s">
        <v>127</v>
      </c>
    </row>
    <row r="801" spans="1:4" x14ac:dyDescent="0.2">
      <c r="A801">
        <v>25524</v>
      </c>
      <c r="B801" t="s">
        <v>761</v>
      </c>
      <c r="C801">
        <v>25</v>
      </c>
      <c r="D801" t="s">
        <v>127</v>
      </c>
    </row>
    <row r="802" spans="1:4" x14ac:dyDescent="0.2">
      <c r="A802">
        <v>25530</v>
      </c>
      <c r="B802" t="s">
        <v>762</v>
      </c>
      <c r="C802">
        <v>25</v>
      </c>
      <c r="D802" t="s">
        <v>127</v>
      </c>
    </row>
    <row r="803" spans="1:4" x14ac:dyDescent="0.2">
      <c r="A803">
        <v>25535</v>
      </c>
      <c r="B803" t="s">
        <v>763</v>
      </c>
      <c r="C803">
        <v>25</v>
      </c>
      <c r="D803" t="s">
        <v>127</v>
      </c>
    </row>
    <row r="804" spans="1:4" x14ac:dyDescent="0.2">
      <c r="A804">
        <v>25572</v>
      </c>
      <c r="B804" t="s">
        <v>764</v>
      </c>
      <c r="C804">
        <v>25</v>
      </c>
      <c r="D804" t="s">
        <v>127</v>
      </c>
    </row>
    <row r="805" spans="1:4" x14ac:dyDescent="0.2">
      <c r="A805">
        <v>25580</v>
      </c>
      <c r="B805" t="s">
        <v>765</v>
      </c>
      <c r="C805">
        <v>25</v>
      </c>
      <c r="D805" t="s">
        <v>127</v>
      </c>
    </row>
    <row r="806" spans="1:4" x14ac:dyDescent="0.2">
      <c r="A806">
        <v>25592</v>
      </c>
      <c r="B806" t="s">
        <v>766</v>
      </c>
      <c r="C806">
        <v>25</v>
      </c>
      <c r="D806" t="s">
        <v>127</v>
      </c>
    </row>
    <row r="807" spans="1:4" x14ac:dyDescent="0.2">
      <c r="A807">
        <v>25594</v>
      </c>
      <c r="B807" t="s">
        <v>767</v>
      </c>
      <c r="C807">
        <v>25</v>
      </c>
      <c r="D807" t="s">
        <v>127</v>
      </c>
    </row>
    <row r="808" spans="1:4" x14ac:dyDescent="0.2">
      <c r="A808">
        <v>25596</v>
      </c>
      <c r="B808" t="s">
        <v>768</v>
      </c>
      <c r="C808">
        <v>25</v>
      </c>
      <c r="D808" t="s">
        <v>127</v>
      </c>
    </row>
    <row r="809" spans="1:4" x14ac:dyDescent="0.2">
      <c r="A809">
        <v>25599</v>
      </c>
      <c r="B809" t="s">
        <v>769</v>
      </c>
      <c r="C809">
        <v>25</v>
      </c>
      <c r="D809" t="s">
        <v>127</v>
      </c>
    </row>
    <row r="810" spans="1:4" x14ac:dyDescent="0.2">
      <c r="A810">
        <v>25612</v>
      </c>
      <c r="B810" t="s">
        <v>770</v>
      </c>
      <c r="C810">
        <v>25</v>
      </c>
      <c r="D810" t="s">
        <v>127</v>
      </c>
    </row>
    <row r="811" spans="1:4" x14ac:dyDescent="0.2">
      <c r="A811">
        <v>25645</v>
      </c>
      <c r="B811" t="s">
        <v>771</v>
      </c>
      <c r="C811">
        <v>25</v>
      </c>
      <c r="D811" t="s">
        <v>127</v>
      </c>
    </row>
    <row r="812" spans="1:4" x14ac:dyDescent="0.2">
      <c r="A812">
        <v>25649</v>
      </c>
      <c r="B812" t="s">
        <v>772</v>
      </c>
      <c r="C812">
        <v>25</v>
      </c>
      <c r="D812" t="s">
        <v>127</v>
      </c>
    </row>
    <row r="813" spans="1:4" x14ac:dyDescent="0.2">
      <c r="A813">
        <v>25653</v>
      </c>
      <c r="B813" t="s">
        <v>773</v>
      </c>
      <c r="C813">
        <v>25</v>
      </c>
      <c r="D813" t="s">
        <v>127</v>
      </c>
    </row>
    <row r="814" spans="1:4" x14ac:dyDescent="0.2">
      <c r="A814">
        <v>25658</v>
      </c>
      <c r="B814" t="s">
        <v>440</v>
      </c>
      <c r="C814">
        <v>25</v>
      </c>
      <c r="D814" t="s">
        <v>127</v>
      </c>
    </row>
    <row r="815" spans="1:4" x14ac:dyDescent="0.2">
      <c r="A815">
        <v>25662</v>
      </c>
      <c r="B815" t="s">
        <v>774</v>
      </c>
      <c r="C815">
        <v>25</v>
      </c>
      <c r="D815" t="s">
        <v>127</v>
      </c>
    </row>
    <row r="816" spans="1:4" x14ac:dyDescent="0.2">
      <c r="A816">
        <v>25718</v>
      </c>
      <c r="B816" t="s">
        <v>775</v>
      </c>
      <c r="C816">
        <v>25</v>
      </c>
      <c r="D816" t="s">
        <v>127</v>
      </c>
    </row>
    <row r="817" spans="1:4" x14ac:dyDescent="0.2">
      <c r="A817">
        <v>25736</v>
      </c>
      <c r="B817" t="s">
        <v>776</v>
      </c>
      <c r="C817">
        <v>25</v>
      </c>
      <c r="D817" t="s">
        <v>127</v>
      </c>
    </row>
    <row r="818" spans="1:4" x14ac:dyDescent="0.2">
      <c r="A818">
        <v>25740</v>
      </c>
      <c r="B818" t="s">
        <v>777</v>
      </c>
      <c r="C818">
        <v>25</v>
      </c>
      <c r="D818" t="s">
        <v>127</v>
      </c>
    </row>
    <row r="819" spans="1:4" x14ac:dyDescent="0.2">
      <c r="A819">
        <v>25743</v>
      </c>
      <c r="B819" t="s">
        <v>778</v>
      </c>
      <c r="C819">
        <v>25</v>
      </c>
      <c r="D819" t="s">
        <v>127</v>
      </c>
    </row>
    <row r="820" spans="1:4" x14ac:dyDescent="0.2">
      <c r="A820">
        <v>25745</v>
      </c>
      <c r="B820" t="s">
        <v>779</v>
      </c>
      <c r="C820">
        <v>25</v>
      </c>
      <c r="D820" t="s">
        <v>127</v>
      </c>
    </row>
    <row r="821" spans="1:4" x14ac:dyDescent="0.2">
      <c r="A821">
        <v>25754</v>
      </c>
      <c r="B821" t="s">
        <v>780</v>
      </c>
      <c r="C821">
        <v>25</v>
      </c>
      <c r="D821" t="s">
        <v>127</v>
      </c>
    </row>
    <row r="822" spans="1:4" x14ac:dyDescent="0.2">
      <c r="A822">
        <v>25758</v>
      </c>
      <c r="B822" t="s">
        <v>781</v>
      </c>
      <c r="C822">
        <v>25</v>
      </c>
      <c r="D822" t="s">
        <v>127</v>
      </c>
    </row>
    <row r="823" spans="1:4" x14ac:dyDescent="0.2">
      <c r="A823">
        <v>25769</v>
      </c>
      <c r="B823" t="s">
        <v>782</v>
      </c>
      <c r="C823">
        <v>25</v>
      </c>
      <c r="D823" t="s">
        <v>127</v>
      </c>
    </row>
    <row r="824" spans="1:4" x14ac:dyDescent="0.2">
      <c r="A824">
        <v>25772</v>
      </c>
      <c r="B824" t="s">
        <v>783</v>
      </c>
      <c r="C824">
        <v>25</v>
      </c>
      <c r="D824" t="s">
        <v>127</v>
      </c>
    </row>
    <row r="825" spans="1:4" x14ac:dyDescent="0.2">
      <c r="A825">
        <v>25777</v>
      </c>
      <c r="B825" t="s">
        <v>784</v>
      </c>
      <c r="C825">
        <v>25</v>
      </c>
      <c r="D825" t="s">
        <v>127</v>
      </c>
    </row>
    <row r="826" spans="1:4" x14ac:dyDescent="0.2">
      <c r="A826">
        <v>25779</v>
      </c>
      <c r="B826" t="s">
        <v>785</v>
      </c>
      <c r="C826">
        <v>25</v>
      </c>
      <c r="D826" t="s">
        <v>127</v>
      </c>
    </row>
    <row r="827" spans="1:4" x14ac:dyDescent="0.2">
      <c r="A827">
        <v>25781</v>
      </c>
      <c r="B827" t="s">
        <v>786</v>
      </c>
      <c r="C827">
        <v>25</v>
      </c>
      <c r="D827" t="s">
        <v>127</v>
      </c>
    </row>
    <row r="828" spans="1:4" x14ac:dyDescent="0.2">
      <c r="A828">
        <v>25785</v>
      </c>
      <c r="B828" t="s">
        <v>787</v>
      </c>
      <c r="C828">
        <v>25</v>
      </c>
      <c r="D828" t="s">
        <v>127</v>
      </c>
    </row>
    <row r="829" spans="1:4" x14ac:dyDescent="0.2">
      <c r="A829">
        <v>25793</v>
      </c>
      <c r="B829" t="s">
        <v>788</v>
      </c>
      <c r="C829">
        <v>25</v>
      </c>
      <c r="D829" t="s">
        <v>127</v>
      </c>
    </row>
    <row r="830" spans="1:4" x14ac:dyDescent="0.2">
      <c r="A830">
        <v>25797</v>
      </c>
      <c r="B830" t="s">
        <v>789</v>
      </c>
      <c r="C830">
        <v>25</v>
      </c>
      <c r="D830" t="s">
        <v>127</v>
      </c>
    </row>
    <row r="831" spans="1:4" x14ac:dyDescent="0.2">
      <c r="A831">
        <v>25799</v>
      </c>
      <c r="B831" t="s">
        <v>790</v>
      </c>
      <c r="C831">
        <v>25</v>
      </c>
      <c r="D831" t="s">
        <v>127</v>
      </c>
    </row>
    <row r="832" spans="1:4" x14ac:dyDescent="0.2">
      <c r="A832">
        <v>25805</v>
      </c>
      <c r="B832" t="s">
        <v>791</v>
      </c>
      <c r="C832">
        <v>25</v>
      </c>
      <c r="D832" t="s">
        <v>127</v>
      </c>
    </row>
    <row r="833" spans="1:4" x14ac:dyDescent="0.2">
      <c r="A833">
        <v>25807</v>
      </c>
      <c r="B833" t="s">
        <v>792</v>
      </c>
      <c r="C833">
        <v>25</v>
      </c>
      <c r="D833" t="s">
        <v>127</v>
      </c>
    </row>
    <row r="834" spans="1:4" x14ac:dyDescent="0.2">
      <c r="A834">
        <v>25817</v>
      </c>
      <c r="B834" t="s">
        <v>793</v>
      </c>
      <c r="C834">
        <v>25</v>
      </c>
      <c r="D834" t="s">
        <v>127</v>
      </c>
    </row>
    <row r="835" spans="1:4" x14ac:dyDescent="0.2">
      <c r="A835">
        <v>25823</v>
      </c>
      <c r="B835" t="s">
        <v>794</v>
      </c>
      <c r="C835">
        <v>25</v>
      </c>
      <c r="D835" t="s">
        <v>127</v>
      </c>
    </row>
    <row r="836" spans="1:4" x14ac:dyDescent="0.2">
      <c r="A836">
        <v>25839</v>
      </c>
      <c r="B836" t="s">
        <v>795</v>
      </c>
      <c r="C836">
        <v>25</v>
      </c>
      <c r="D836" t="s">
        <v>127</v>
      </c>
    </row>
    <row r="837" spans="1:4" x14ac:dyDescent="0.2">
      <c r="A837">
        <v>25841</v>
      </c>
      <c r="B837" t="s">
        <v>796</v>
      </c>
      <c r="C837">
        <v>25</v>
      </c>
      <c r="D837" t="s">
        <v>127</v>
      </c>
    </row>
    <row r="838" spans="1:4" x14ac:dyDescent="0.2">
      <c r="A838">
        <v>25845</v>
      </c>
      <c r="B838" t="s">
        <v>797</v>
      </c>
      <c r="C838">
        <v>25</v>
      </c>
      <c r="D838" t="s">
        <v>127</v>
      </c>
    </row>
    <row r="839" spans="1:4" x14ac:dyDescent="0.2">
      <c r="A839">
        <v>25851</v>
      </c>
      <c r="B839" t="s">
        <v>798</v>
      </c>
      <c r="C839">
        <v>25</v>
      </c>
      <c r="D839" t="s">
        <v>127</v>
      </c>
    </row>
    <row r="840" spans="1:4" x14ac:dyDescent="0.2">
      <c r="A840">
        <v>25862</v>
      </c>
      <c r="B840" t="s">
        <v>799</v>
      </c>
      <c r="C840">
        <v>25</v>
      </c>
      <c r="D840" t="s">
        <v>127</v>
      </c>
    </row>
    <row r="841" spans="1:4" x14ac:dyDescent="0.2">
      <c r="A841">
        <v>25867</v>
      </c>
      <c r="B841" t="s">
        <v>800</v>
      </c>
      <c r="C841">
        <v>25</v>
      </c>
      <c r="D841" t="s">
        <v>127</v>
      </c>
    </row>
    <row r="842" spans="1:4" x14ac:dyDescent="0.2">
      <c r="A842">
        <v>25871</v>
      </c>
      <c r="B842" t="s">
        <v>801</v>
      </c>
      <c r="C842">
        <v>25</v>
      </c>
      <c r="D842" t="s">
        <v>127</v>
      </c>
    </row>
    <row r="843" spans="1:4" x14ac:dyDescent="0.2">
      <c r="A843">
        <v>25873</v>
      </c>
      <c r="B843" t="s">
        <v>802</v>
      </c>
      <c r="C843">
        <v>25</v>
      </c>
      <c r="D843" t="s">
        <v>127</v>
      </c>
    </row>
    <row r="844" spans="1:4" x14ac:dyDescent="0.2">
      <c r="A844">
        <v>25878</v>
      </c>
      <c r="B844" t="s">
        <v>803</v>
      </c>
      <c r="C844">
        <v>25</v>
      </c>
      <c r="D844" t="s">
        <v>127</v>
      </c>
    </row>
    <row r="845" spans="1:4" x14ac:dyDescent="0.2">
      <c r="A845">
        <v>25885</v>
      </c>
      <c r="B845" t="s">
        <v>804</v>
      </c>
      <c r="C845">
        <v>25</v>
      </c>
      <c r="D845" t="s">
        <v>127</v>
      </c>
    </row>
    <row r="846" spans="1:4" x14ac:dyDescent="0.2">
      <c r="A846">
        <v>25898</v>
      </c>
      <c r="B846" t="s">
        <v>805</v>
      </c>
      <c r="C846">
        <v>25</v>
      </c>
      <c r="D846" t="s">
        <v>127</v>
      </c>
    </row>
    <row r="847" spans="1:4" x14ac:dyDescent="0.2">
      <c r="A847">
        <v>25899</v>
      </c>
      <c r="B847" t="s">
        <v>806</v>
      </c>
      <c r="C847">
        <v>25</v>
      </c>
      <c r="D847" t="s">
        <v>127</v>
      </c>
    </row>
    <row r="848" spans="1:4" x14ac:dyDescent="0.2">
      <c r="A848">
        <v>27006</v>
      </c>
      <c r="B848" t="s">
        <v>807</v>
      </c>
      <c r="C848">
        <v>27</v>
      </c>
      <c r="D848" t="s">
        <v>148</v>
      </c>
    </row>
    <row r="849" spans="1:4" x14ac:dyDescent="0.2">
      <c r="A849">
        <v>27025</v>
      </c>
      <c r="B849" t="s">
        <v>808</v>
      </c>
      <c r="C849">
        <v>27</v>
      </c>
      <c r="D849" t="s">
        <v>148</v>
      </c>
    </row>
    <row r="850" spans="1:4" x14ac:dyDescent="0.2">
      <c r="A850">
        <v>27050</v>
      </c>
      <c r="B850" t="s">
        <v>809</v>
      </c>
      <c r="C850">
        <v>27</v>
      </c>
      <c r="D850" t="s">
        <v>148</v>
      </c>
    </row>
    <row r="851" spans="1:4" x14ac:dyDescent="0.2">
      <c r="A851">
        <v>27073</v>
      </c>
      <c r="B851" t="s">
        <v>810</v>
      </c>
      <c r="C851">
        <v>27</v>
      </c>
      <c r="D851" t="s">
        <v>148</v>
      </c>
    </row>
    <row r="852" spans="1:4" x14ac:dyDescent="0.2">
      <c r="A852">
        <v>27075</v>
      </c>
      <c r="B852" t="s">
        <v>811</v>
      </c>
      <c r="C852">
        <v>27</v>
      </c>
      <c r="D852" t="s">
        <v>148</v>
      </c>
    </row>
    <row r="853" spans="1:4" x14ac:dyDescent="0.2">
      <c r="A853">
        <v>27077</v>
      </c>
      <c r="B853" t="s">
        <v>812</v>
      </c>
      <c r="C853">
        <v>27</v>
      </c>
      <c r="D853" t="s">
        <v>148</v>
      </c>
    </row>
    <row r="854" spans="1:4" x14ac:dyDescent="0.2">
      <c r="A854">
        <v>27082</v>
      </c>
      <c r="B854" t="s">
        <v>813</v>
      </c>
      <c r="C854">
        <v>27</v>
      </c>
      <c r="D854" t="s">
        <v>148</v>
      </c>
    </row>
    <row r="855" spans="1:4" x14ac:dyDescent="0.2">
      <c r="A855">
        <v>27099</v>
      </c>
      <c r="B855" t="s">
        <v>814</v>
      </c>
      <c r="C855">
        <v>27</v>
      </c>
      <c r="D855" t="s">
        <v>148</v>
      </c>
    </row>
    <row r="856" spans="1:4" x14ac:dyDescent="0.2">
      <c r="A856">
        <v>27135</v>
      </c>
      <c r="B856" t="s">
        <v>815</v>
      </c>
      <c r="C856">
        <v>27</v>
      </c>
      <c r="D856" t="s">
        <v>148</v>
      </c>
    </row>
    <row r="857" spans="1:4" x14ac:dyDescent="0.2">
      <c r="A857">
        <v>27150</v>
      </c>
      <c r="B857" t="s">
        <v>816</v>
      </c>
      <c r="C857">
        <v>27</v>
      </c>
      <c r="D857" t="s">
        <v>148</v>
      </c>
    </row>
    <row r="858" spans="1:4" x14ac:dyDescent="0.2">
      <c r="A858">
        <v>27160</v>
      </c>
      <c r="B858" t="s">
        <v>817</v>
      </c>
      <c r="C858">
        <v>27</v>
      </c>
      <c r="D858" t="s">
        <v>148</v>
      </c>
    </row>
    <row r="859" spans="1:4" x14ac:dyDescent="0.2">
      <c r="A859">
        <v>27205</v>
      </c>
      <c r="B859" t="s">
        <v>818</v>
      </c>
      <c r="C859">
        <v>27</v>
      </c>
      <c r="D859" t="s">
        <v>148</v>
      </c>
    </row>
    <row r="860" spans="1:4" x14ac:dyDescent="0.2">
      <c r="A860">
        <v>27245</v>
      </c>
      <c r="B860" t="s">
        <v>819</v>
      </c>
      <c r="C860">
        <v>27</v>
      </c>
      <c r="D860" t="s">
        <v>148</v>
      </c>
    </row>
    <row r="861" spans="1:4" x14ac:dyDescent="0.2">
      <c r="A861">
        <v>27250</v>
      </c>
      <c r="B861" t="s">
        <v>820</v>
      </c>
      <c r="C861">
        <v>27</v>
      </c>
      <c r="D861" t="s">
        <v>148</v>
      </c>
    </row>
    <row r="862" spans="1:4" x14ac:dyDescent="0.2">
      <c r="A862">
        <v>27372</v>
      </c>
      <c r="B862" t="s">
        <v>821</v>
      </c>
      <c r="C862">
        <v>27</v>
      </c>
      <c r="D862" t="s">
        <v>148</v>
      </c>
    </row>
    <row r="863" spans="1:4" x14ac:dyDescent="0.2">
      <c r="A863">
        <v>27413</v>
      </c>
      <c r="B863" t="s">
        <v>822</v>
      </c>
      <c r="C863">
        <v>27</v>
      </c>
      <c r="D863" t="s">
        <v>148</v>
      </c>
    </row>
    <row r="864" spans="1:4" x14ac:dyDescent="0.2">
      <c r="A864">
        <v>27425</v>
      </c>
      <c r="B864" t="s">
        <v>823</v>
      </c>
      <c r="C864">
        <v>27</v>
      </c>
      <c r="D864" t="s">
        <v>148</v>
      </c>
    </row>
    <row r="865" spans="1:4" x14ac:dyDescent="0.2">
      <c r="A865">
        <v>27430</v>
      </c>
      <c r="B865" t="s">
        <v>824</v>
      </c>
      <c r="C865">
        <v>27</v>
      </c>
      <c r="D865" t="s">
        <v>148</v>
      </c>
    </row>
    <row r="866" spans="1:4" x14ac:dyDescent="0.2">
      <c r="A866">
        <v>27450</v>
      </c>
      <c r="B866" t="s">
        <v>825</v>
      </c>
      <c r="C866">
        <v>27</v>
      </c>
      <c r="D866" t="s">
        <v>148</v>
      </c>
    </row>
    <row r="867" spans="1:4" x14ac:dyDescent="0.2">
      <c r="A867">
        <v>27491</v>
      </c>
      <c r="B867" t="s">
        <v>826</v>
      </c>
      <c r="C867">
        <v>27</v>
      </c>
      <c r="D867" t="s">
        <v>148</v>
      </c>
    </row>
    <row r="868" spans="1:4" x14ac:dyDescent="0.2">
      <c r="A868">
        <v>27495</v>
      </c>
      <c r="B868" t="s">
        <v>827</v>
      </c>
      <c r="C868">
        <v>27</v>
      </c>
      <c r="D868" t="s">
        <v>148</v>
      </c>
    </row>
    <row r="869" spans="1:4" x14ac:dyDescent="0.2">
      <c r="A869">
        <v>27580</v>
      </c>
      <c r="B869" t="s">
        <v>828</v>
      </c>
      <c r="C869">
        <v>27</v>
      </c>
      <c r="D869" t="s">
        <v>148</v>
      </c>
    </row>
    <row r="870" spans="1:4" x14ac:dyDescent="0.2">
      <c r="A870">
        <v>27600</v>
      </c>
      <c r="B870" t="s">
        <v>829</v>
      </c>
      <c r="C870">
        <v>27</v>
      </c>
      <c r="D870" t="s">
        <v>148</v>
      </c>
    </row>
    <row r="871" spans="1:4" x14ac:dyDescent="0.2">
      <c r="A871">
        <v>27615</v>
      </c>
      <c r="B871" t="s">
        <v>830</v>
      </c>
      <c r="C871">
        <v>27</v>
      </c>
      <c r="D871" t="s">
        <v>148</v>
      </c>
    </row>
    <row r="872" spans="1:4" x14ac:dyDescent="0.2">
      <c r="A872">
        <v>27660</v>
      </c>
      <c r="B872" t="s">
        <v>831</v>
      </c>
      <c r="C872">
        <v>27</v>
      </c>
      <c r="D872" t="s">
        <v>148</v>
      </c>
    </row>
    <row r="873" spans="1:4" x14ac:dyDescent="0.2">
      <c r="A873">
        <v>27745</v>
      </c>
      <c r="B873" t="s">
        <v>832</v>
      </c>
      <c r="C873">
        <v>27</v>
      </c>
      <c r="D873" t="s">
        <v>148</v>
      </c>
    </row>
    <row r="874" spans="1:4" x14ac:dyDescent="0.2">
      <c r="A874">
        <v>27800</v>
      </c>
      <c r="B874" t="s">
        <v>833</v>
      </c>
      <c r="C874">
        <v>27</v>
      </c>
      <c r="D874" t="s">
        <v>148</v>
      </c>
    </row>
    <row r="875" spans="1:4" x14ac:dyDescent="0.2">
      <c r="A875">
        <v>27810</v>
      </c>
      <c r="B875" t="s">
        <v>834</v>
      </c>
      <c r="C875">
        <v>27</v>
      </c>
      <c r="D875" t="s">
        <v>148</v>
      </c>
    </row>
    <row r="876" spans="1:4" x14ac:dyDescent="0.2">
      <c r="A876">
        <v>27998</v>
      </c>
      <c r="B876" t="s">
        <v>46</v>
      </c>
      <c r="C876">
        <v>27</v>
      </c>
      <c r="D876" t="s">
        <v>148</v>
      </c>
    </row>
    <row r="877" spans="1:4" x14ac:dyDescent="0.2">
      <c r="A877">
        <v>41006</v>
      </c>
      <c r="B877" t="s">
        <v>835</v>
      </c>
      <c r="C877">
        <v>41</v>
      </c>
      <c r="D877" t="s">
        <v>153</v>
      </c>
    </row>
    <row r="878" spans="1:4" x14ac:dyDescent="0.2">
      <c r="A878">
        <v>41013</v>
      </c>
      <c r="B878" t="s">
        <v>836</v>
      </c>
      <c r="C878">
        <v>41</v>
      </c>
      <c r="D878" t="s">
        <v>153</v>
      </c>
    </row>
    <row r="879" spans="1:4" x14ac:dyDescent="0.2">
      <c r="A879">
        <v>41016</v>
      </c>
      <c r="B879" t="s">
        <v>837</v>
      </c>
      <c r="C879">
        <v>41</v>
      </c>
      <c r="D879" t="s">
        <v>153</v>
      </c>
    </row>
    <row r="880" spans="1:4" x14ac:dyDescent="0.2">
      <c r="A880">
        <v>41026</v>
      </c>
      <c r="B880" t="s">
        <v>838</v>
      </c>
      <c r="C880">
        <v>41</v>
      </c>
      <c r="D880" t="s">
        <v>153</v>
      </c>
    </row>
    <row r="881" spans="1:4" x14ac:dyDescent="0.2">
      <c r="A881">
        <v>41078</v>
      </c>
      <c r="B881" t="s">
        <v>839</v>
      </c>
      <c r="C881">
        <v>41</v>
      </c>
      <c r="D881" t="s">
        <v>153</v>
      </c>
    </row>
    <row r="882" spans="1:4" x14ac:dyDescent="0.2">
      <c r="A882">
        <v>41206</v>
      </c>
      <c r="B882" t="s">
        <v>840</v>
      </c>
      <c r="C882">
        <v>41</v>
      </c>
      <c r="D882" t="s">
        <v>153</v>
      </c>
    </row>
    <row r="883" spans="1:4" x14ac:dyDescent="0.2">
      <c r="A883">
        <v>41244</v>
      </c>
      <c r="B883" t="s">
        <v>841</v>
      </c>
      <c r="C883">
        <v>41</v>
      </c>
      <c r="D883" t="s">
        <v>153</v>
      </c>
    </row>
    <row r="884" spans="1:4" x14ac:dyDescent="0.2">
      <c r="A884">
        <v>41319</v>
      </c>
      <c r="B884" t="s">
        <v>23</v>
      </c>
      <c r="C884">
        <v>41</v>
      </c>
      <c r="D884" t="s">
        <v>153</v>
      </c>
    </row>
    <row r="885" spans="1:4" x14ac:dyDescent="0.2">
      <c r="A885">
        <v>41349</v>
      </c>
      <c r="B885" t="s">
        <v>842</v>
      </c>
      <c r="C885">
        <v>41</v>
      </c>
      <c r="D885" t="s">
        <v>153</v>
      </c>
    </row>
    <row r="886" spans="1:4" x14ac:dyDescent="0.2">
      <c r="A886">
        <v>41357</v>
      </c>
      <c r="B886" t="s">
        <v>843</v>
      </c>
      <c r="C886">
        <v>41</v>
      </c>
      <c r="D886" t="s">
        <v>153</v>
      </c>
    </row>
    <row r="887" spans="1:4" x14ac:dyDescent="0.2">
      <c r="A887">
        <v>41359</v>
      </c>
      <c r="B887" t="s">
        <v>844</v>
      </c>
      <c r="C887">
        <v>41</v>
      </c>
      <c r="D887" t="s">
        <v>153</v>
      </c>
    </row>
    <row r="888" spans="1:4" x14ac:dyDescent="0.2">
      <c r="A888">
        <v>41378</v>
      </c>
      <c r="B888" t="s">
        <v>845</v>
      </c>
      <c r="C888">
        <v>41</v>
      </c>
      <c r="D888" t="s">
        <v>153</v>
      </c>
    </row>
    <row r="889" spans="1:4" x14ac:dyDescent="0.2">
      <c r="A889">
        <v>41383</v>
      </c>
      <c r="B889" t="s">
        <v>846</v>
      </c>
      <c r="C889">
        <v>41</v>
      </c>
      <c r="D889" t="s">
        <v>153</v>
      </c>
    </row>
    <row r="890" spans="1:4" x14ac:dyDescent="0.2">
      <c r="A890">
        <v>41483</v>
      </c>
      <c r="B890" t="s">
        <v>847</v>
      </c>
      <c r="C890">
        <v>41</v>
      </c>
      <c r="D890" t="s">
        <v>153</v>
      </c>
    </row>
    <row r="891" spans="1:4" x14ac:dyDescent="0.2">
      <c r="A891">
        <v>41503</v>
      </c>
      <c r="B891" t="s">
        <v>848</v>
      </c>
      <c r="C891">
        <v>41</v>
      </c>
      <c r="D891" t="s">
        <v>153</v>
      </c>
    </row>
    <row r="892" spans="1:4" x14ac:dyDescent="0.2">
      <c r="A892">
        <v>41518</v>
      </c>
      <c r="B892" t="s">
        <v>849</v>
      </c>
      <c r="C892">
        <v>41</v>
      </c>
      <c r="D892" t="s">
        <v>153</v>
      </c>
    </row>
    <row r="893" spans="1:4" x14ac:dyDescent="0.2">
      <c r="A893">
        <v>41524</v>
      </c>
      <c r="B893" t="s">
        <v>850</v>
      </c>
      <c r="C893">
        <v>41</v>
      </c>
      <c r="D893" t="s">
        <v>153</v>
      </c>
    </row>
    <row r="894" spans="1:4" x14ac:dyDescent="0.2">
      <c r="A894">
        <v>41530</v>
      </c>
      <c r="B894" t="s">
        <v>633</v>
      </c>
      <c r="C894">
        <v>41</v>
      </c>
      <c r="D894" t="s">
        <v>153</v>
      </c>
    </row>
    <row r="895" spans="1:4" x14ac:dyDescent="0.2">
      <c r="A895">
        <v>41548</v>
      </c>
      <c r="B895" t="s">
        <v>851</v>
      </c>
      <c r="C895">
        <v>41</v>
      </c>
      <c r="D895" t="s">
        <v>153</v>
      </c>
    </row>
    <row r="896" spans="1:4" x14ac:dyDescent="0.2">
      <c r="A896">
        <v>41584</v>
      </c>
      <c r="B896" t="s">
        <v>851</v>
      </c>
      <c r="C896">
        <v>41</v>
      </c>
      <c r="D896" t="s">
        <v>153</v>
      </c>
    </row>
    <row r="897" spans="1:4" x14ac:dyDescent="0.2">
      <c r="A897">
        <v>41615</v>
      </c>
      <c r="B897" t="s">
        <v>852</v>
      </c>
      <c r="C897">
        <v>41</v>
      </c>
      <c r="D897" t="s">
        <v>153</v>
      </c>
    </row>
    <row r="898" spans="1:4" x14ac:dyDescent="0.2">
      <c r="A898">
        <v>41660</v>
      </c>
      <c r="B898" t="s">
        <v>853</v>
      </c>
      <c r="C898">
        <v>41</v>
      </c>
      <c r="D898" t="s">
        <v>153</v>
      </c>
    </row>
    <row r="899" spans="1:4" x14ac:dyDescent="0.2">
      <c r="A899">
        <v>41676</v>
      </c>
      <c r="B899" t="s">
        <v>593</v>
      </c>
      <c r="C899">
        <v>41</v>
      </c>
      <c r="D899" t="s">
        <v>153</v>
      </c>
    </row>
    <row r="900" spans="1:4" x14ac:dyDescent="0.2">
      <c r="A900">
        <v>41770</v>
      </c>
      <c r="B900" t="s">
        <v>854</v>
      </c>
      <c r="C900">
        <v>41</v>
      </c>
      <c r="D900" t="s">
        <v>153</v>
      </c>
    </row>
    <row r="901" spans="1:4" x14ac:dyDescent="0.2">
      <c r="A901">
        <v>41791</v>
      </c>
      <c r="B901" t="s">
        <v>855</v>
      </c>
      <c r="C901">
        <v>41</v>
      </c>
      <c r="D901" t="s">
        <v>153</v>
      </c>
    </row>
    <row r="902" spans="1:4" x14ac:dyDescent="0.2">
      <c r="A902">
        <v>41801</v>
      </c>
      <c r="B902" t="s">
        <v>856</v>
      </c>
      <c r="C902">
        <v>41</v>
      </c>
      <c r="D902" t="s">
        <v>153</v>
      </c>
    </row>
    <row r="903" spans="1:4" x14ac:dyDescent="0.2">
      <c r="A903">
        <v>41807</v>
      </c>
      <c r="B903" t="s">
        <v>857</v>
      </c>
      <c r="C903">
        <v>41</v>
      </c>
      <c r="D903" t="s">
        <v>153</v>
      </c>
    </row>
    <row r="904" spans="1:4" x14ac:dyDescent="0.2">
      <c r="A904">
        <v>41872</v>
      </c>
      <c r="B904" t="s">
        <v>858</v>
      </c>
      <c r="C904">
        <v>41</v>
      </c>
      <c r="D904" t="s">
        <v>153</v>
      </c>
    </row>
    <row r="905" spans="1:4" x14ac:dyDescent="0.2">
      <c r="A905">
        <v>41885</v>
      </c>
      <c r="B905" t="s">
        <v>859</v>
      </c>
      <c r="C905">
        <v>41</v>
      </c>
      <c r="D905" t="s">
        <v>153</v>
      </c>
    </row>
    <row r="906" spans="1:4" x14ac:dyDescent="0.2">
      <c r="A906">
        <v>44035</v>
      </c>
      <c r="B906" t="s">
        <v>639</v>
      </c>
      <c r="C906">
        <v>44</v>
      </c>
      <c r="D906" t="s">
        <v>164</v>
      </c>
    </row>
    <row r="907" spans="1:4" x14ac:dyDescent="0.2">
      <c r="A907">
        <v>44090</v>
      </c>
      <c r="B907" t="s">
        <v>860</v>
      </c>
      <c r="C907">
        <v>44</v>
      </c>
      <c r="D907" t="s">
        <v>164</v>
      </c>
    </row>
    <row r="908" spans="1:4" x14ac:dyDescent="0.2">
      <c r="A908">
        <v>44098</v>
      </c>
      <c r="B908" t="s">
        <v>861</v>
      </c>
      <c r="C908">
        <v>44</v>
      </c>
      <c r="D908" t="s">
        <v>164</v>
      </c>
    </row>
    <row r="909" spans="1:4" x14ac:dyDescent="0.2">
      <c r="A909">
        <v>44378</v>
      </c>
      <c r="B909" t="s">
        <v>862</v>
      </c>
      <c r="C909">
        <v>44</v>
      </c>
      <c r="D909" t="s">
        <v>164</v>
      </c>
    </row>
    <row r="910" spans="1:4" x14ac:dyDescent="0.2">
      <c r="A910">
        <v>44420</v>
      </c>
      <c r="B910" t="s">
        <v>863</v>
      </c>
      <c r="C910">
        <v>44</v>
      </c>
      <c r="D910" t="s">
        <v>164</v>
      </c>
    </row>
    <row r="911" spans="1:4" x14ac:dyDescent="0.2">
      <c r="A911">
        <v>47030</v>
      </c>
      <c r="B911" t="s">
        <v>864</v>
      </c>
      <c r="C911">
        <v>47</v>
      </c>
      <c r="D911" t="s">
        <v>174</v>
      </c>
    </row>
    <row r="912" spans="1:4" x14ac:dyDescent="0.2">
      <c r="A912">
        <v>47058</v>
      </c>
      <c r="B912" t="s">
        <v>865</v>
      </c>
      <c r="C912">
        <v>47</v>
      </c>
      <c r="D912" t="s">
        <v>174</v>
      </c>
    </row>
    <row r="913" spans="1:4" x14ac:dyDescent="0.2">
      <c r="A913">
        <v>47161</v>
      </c>
      <c r="B913" t="s">
        <v>866</v>
      </c>
      <c r="C913">
        <v>47</v>
      </c>
      <c r="D913" t="s">
        <v>174</v>
      </c>
    </row>
    <row r="914" spans="1:4" x14ac:dyDescent="0.2">
      <c r="A914">
        <v>47170</v>
      </c>
      <c r="B914" t="s">
        <v>867</v>
      </c>
      <c r="C914">
        <v>47</v>
      </c>
      <c r="D914" t="s">
        <v>174</v>
      </c>
    </row>
    <row r="915" spans="1:4" x14ac:dyDescent="0.2">
      <c r="A915">
        <v>47205</v>
      </c>
      <c r="B915" t="s">
        <v>400</v>
      </c>
      <c r="C915">
        <v>47</v>
      </c>
      <c r="D915" t="s">
        <v>174</v>
      </c>
    </row>
    <row r="916" spans="1:4" x14ac:dyDescent="0.2">
      <c r="A916">
        <v>47258</v>
      </c>
      <c r="B916" t="s">
        <v>868</v>
      </c>
      <c r="C916">
        <v>47</v>
      </c>
      <c r="D916" t="s">
        <v>174</v>
      </c>
    </row>
    <row r="917" spans="1:4" x14ac:dyDescent="0.2">
      <c r="A917">
        <v>47268</v>
      </c>
      <c r="B917" t="s">
        <v>869</v>
      </c>
      <c r="C917">
        <v>47</v>
      </c>
      <c r="D917" t="s">
        <v>174</v>
      </c>
    </row>
    <row r="918" spans="1:4" x14ac:dyDescent="0.2">
      <c r="A918">
        <v>47318</v>
      </c>
      <c r="B918" t="s">
        <v>870</v>
      </c>
      <c r="C918">
        <v>47</v>
      </c>
      <c r="D918" t="s">
        <v>174</v>
      </c>
    </row>
    <row r="919" spans="1:4" x14ac:dyDescent="0.2">
      <c r="A919">
        <v>47460</v>
      </c>
      <c r="B919" t="s">
        <v>871</v>
      </c>
      <c r="C919">
        <v>47</v>
      </c>
      <c r="D919" t="s">
        <v>174</v>
      </c>
    </row>
    <row r="920" spans="1:4" x14ac:dyDescent="0.2">
      <c r="A920">
        <v>47541</v>
      </c>
      <c r="B920" t="s">
        <v>872</v>
      </c>
      <c r="C920">
        <v>47</v>
      </c>
      <c r="D920" t="s">
        <v>174</v>
      </c>
    </row>
    <row r="921" spans="1:4" x14ac:dyDescent="0.2">
      <c r="A921">
        <v>47545</v>
      </c>
      <c r="B921" t="s">
        <v>873</v>
      </c>
      <c r="C921">
        <v>47</v>
      </c>
      <c r="D921" t="s">
        <v>174</v>
      </c>
    </row>
    <row r="922" spans="1:4" x14ac:dyDescent="0.2">
      <c r="A922">
        <v>47570</v>
      </c>
      <c r="B922" t="s">
        <v>874</v>
      </c>
      <c r="C922">
        <v>47</v>
      </c>
      <c r="D922" t="s">
        <v>174</v>
      </c>
    </row>
    <row r="923" spans="1:4" x14ac:dyDescent="0.2">
      <c r="A923">
        <v>47605</v>
      </c>
      <c r="B923" t="s">
        <v>875</v>
      </c>
      <c r="C923">
        <v>47</v>
      </c>
      <c r="D923" t="s">
        <v>174</v>
      </c>
    </row>
    <row r="924" spans="1:4" x14ac:dyDescent="0.2">
      <c r="A924">
        <v>47660</v>
      </c>
      <c r="B924" t="s">
        <v>876</v>
      </c>
      <c r="C924">
        <v>47</v>
      </c>
      <c r="D924" t="s">
        <v>174</v>
      </c>
    </row>
    <row r="925" spans="1:4" x14ac:dyDescent="0.2">
      <c r="A925">
        <v>47675</v>
      </c>
      <c r="B925" t="s">
        <v>877</v>
      </c>
      <c r="C925">
        <v>47</v>
      </c>
      <c r="D925" t="s">
        <v>174</v>
      </c>
    </row>
    <row r="926" spans="1:4" x14ac:dyDescent="0.2">
      <c r="A926">
        <v>47692</v>
      </c>
      <c r="B926" t="s">
        <v>878</v>
      </c>
      <c r="C926">
        <v>47</v>
      </c>
      <c r="D926" t="s">
        <v>174</v>
      </c>
    </row>
    <row r="927" spans="1:4" x14ac:dyDescent="0.2">
      <c r="A927">
        <v>47703</v>
      </c>
      <c r="B927" t="s">
        <v>879</v>
      </c>
      <c r="C927">
        <v>47</v>
      </c>
      <c r="D927" t="s">
        <v>174</v>
      </c>
    </row>
    <row r="928" spans="1:4" x14ac:dyDescent="0.2">
      <c r="A928">
        <v>47707</v>
      </c>
      <c r="B928" t="s">
        <v>880</v>
      </c>
      <c r="C928">
        <v>47</v>
      </c>
      <c r="D928" t="s">
        <v>174</v>
      </c>
    </row>
    <row r="929" spans="1:4" x14ac:dyDescent="0.2">
      <c r="A929">
        <v>47720</v>
      </c>
      <c r="B929" t="s">
        <v>881</v>
      </c>
      <c r="C929">
        <v>47</v>
      </c>
      <c r="D929" t="s">
        <v>174</v>
      </c>
    </row>
    <row r="930" spans="1:4" x14ac:dyDescent="0.2">
      <c r="A930">
        <v>47745</v>
      </c>
      <c r="B930" t="s">
        <v>882</v>
      </c>
      <c r="C930">
        <v>47</v>
      </c>
      <c r="D930" t="s">
        <v>174</v>
      </c>
    </row>
    <row r="931" spans="1:4" x14ac:dyDescent="0.2">
      <c r="A931">
        <v>47960</v>
      </c>
      <c r="B931" t="s">
        <v>883</v>
      </c>
      <c r="C931">
        <v>47</v>
      </c>
      <c r="D931" t="s">
        <v>174</v>
      </c>
    </row>
    <row r="932" spans="1:4" x14ac:dyDescent="0.2">
      <c r="A932">
        <v>47980</v>
      </c>
      <c r="B932" t="s">
        <v>884</v>
      </c>
      <c r="C932">
        <v>47</v>
      </c>
      <c r="D932" t="s">
        <v>174</v>
      </c>
    </row>
    <row r="933" spans="1:4" x14ac:dyDescent="0.2">
      <c r="A933">
        <v>50110</v>
      </c>
      <c r="B933" t="s">
        <v>885</v>
      </c>
      <c r="C933">
        <v>50</v>
      </c>
      <c r="D933" t="s">
        <v>184</v>
      </c>
    </row>
    <row r="934" spans="1:4" x14ac:dyDescent="0.2">
      <c r="A934">
        <v>50124</v>
      </c>
      <c r="B934" t="s">
        <v>886</v>
      </c>
      <c r="C934">
        <v>50</v>
      </c>
      <c r="D934" t="s">
        <v>184</v>
      </c>
    </row>
    <row r="935" spans="1:4" x14ac:dyDescent="0.2">
      <c r="A935">
        <v>50150</v>
      </c>
      <c r="B935" t="s">
        <v>887</v>
      </c>
      <c r="C935">
        <v>50</v>
      </c>
      <c r="D935" t="s">
        <v>184</v>
      </c>
    </row>
    <row r="936" spans="1:4" x14ac:dyDescent="0.2">
      <c r="A936">
        <v>50223</v>
      </c>
      <c r="B936" t="s">
        <v>888</v>
      </c>
      <c r="C936">
        <v>50</v>
      </c>
      <c r="D936" t="s">
        <v>184</v>
      </c>
    </row>
    <row r="937" spans="1:4" x14ac:dyDescent="0.2">
      <c r="A937">
        <v>50245</v>
      </c>
      <c r="B937" t="s">
        <v>889</v>
      </c>
      <c r="C937">
        <v>50</v>
      </c>
      <c r="D937" t="s">
        <v>184</v>
      </c>
    </row>
    <row r="938" spans="1:4" x14ac:dyDescent="0.2">
      <c r="A938">
        <v>50251</v>
      </c>
      <c r="B938" t="s">
        <v>890</v>
      </c>
      <c r="C938">
        <v>50</v>
      </c>
      <c r="D938" t="s">
        <v>184</v>
      </c>
    </row>
    <row r="939" spans="1:4" x14ac:dyDescent="0.2">
      <c r="A939">
        <v>50270</v>
      </c>
      <c r="B939" t="s">
        <v>891</v>
      </c>
      <c r="C939">
        <v>50</v>
      </c>
      <c r="D939" t="s">
        <v>184</v>
      </c>
    </row>
    <row r="940" spans="1:4" x14ac:dyDescent="0.2">
      <c r="A940">
        <v>50287</v>
      </c>
      <c r="B940" t="s">
        <v>892</v>
      </c>
      <c r="C940">
        <v>50</v>
      </c>
      <c r="D940" t="s">
        <v>184</v>
      </c>
    </row>
    <row r="941" spans="1:4" x14ac:dyDescent="0.2">
      <c r="A941">
        <v>50325</v>
      </c>
      <c r="B941" t="s">
        <v>893</v>
      </c>
      <c r="C941">
        <v>50</v>
      </c>
      <c r="D941" t="s">
        <v>184</v>
      </c>
    </row>
    <row r="942" spans="1:4" x14ac:dyDescent="0.2">
      <c r="A942">
        <v>50330</v>
      </c>
      <c r="B942" t="s">
        <v>894</v>
      </c>
      <c r="C942">
        <v>50</v>
      </c>
      <c r="D942" t="s">
        <v>184</v>
      </c>
    </row>
    <row r="943" spans="1:4" x14ac:dyDescent="0.2">
      <c r="A943">
        <v>50350</v>
      </c>
      <c r="B943" t="s">
        <v>895</v>
      </c>
      <c r="C943">
        <v>50</v>
      </c>
      <c r="D943" t="s">
        <v>184</v>
      </c>
    </row>
    <row r="944" spans="1:4" x14ac:dyDescent="0.2">
      <c r="A944">
        <v>50370</v>
      </c>
      <c r="B944" t="s">
        <v>896</v>
      </c>
      <c r="C944">
        <v>50</v>
      </c>
      <c r="D944" t="s">
        <v>184</v>
      </c>
    </row>
    <row r="945" spans="1:4" x14ac:dyDescent="0.2">
      <c r="A945">
        <v>50400</v>
      </c>
      <c r="B945" t="s">
        <v>897</v>
      </c>
      <c r="C945">
        <v>50</v>
      </c>
      <c r="D945" t="s">
        <v>184</v>
      </c>
    </row>
    <row r="946" spans="1:4" x14ac:dyDescent="0.2">
      <c r="A946">
        <v>50450</v>
      </c>
      <c r="B946" t="s">
        <v>898</v>
      </c>
      <c r="C946">
        <v>50</v>
      </c>
      <c r="D946" t="s">
        <v>184</v>
      </c>
    </row>
    <row r="947" spans="1:4" x14ac:dyDescent="0.2">
      <c r="A947">
        <v>50577</v>
      </c>
      <c r="B947" t="s">
        <v>899</v>
      </c>
      <c r="C947">
        <v>50</v>
      </c>
      <c r="D947" t="s">
        <v>184</v>
      </c>
    </row>
    <row r="948" spans="1:4" x14ac:dyDescent="0.2">
      <c r="A948">
        <v>50680</v>
      </c>
      <c r="B948" t="s">
        <v>900</v>
      </c>
      <c r="C948">
        <v>50</v>
      </c>
      <c r="D948" t="s">
        <v>184</v>
      </c>
    </row>
    <row r="949" spans="1:4" x14ac:dyDescent="0.2">
      <c r="A949">
        <v>50683</v>
      </c>
      <c r="B949" t="s">
        <v>901</v>
      </c>
      <c r="C949">
        <v>50</v>
      </c>
      <c r="D949" t="s">
        <v>184</v>
      </c>
    </row>
    <row r="950" spans="1:4" x14ac:dyDescent="0.2">
      <c r="A950">
        <v>50686</v>
      </c>
      <c r="B950" t="s">
        <v>902</v>
      </c>
      <c r="C950">
        <v>50</v>
      </c>
      <c r="D950" t="s">
        <v>184</v>
      </c>
    </row>
    <row r="951" spans="1:4" x14ac:dyDescent="0.2">
      <c r="A951">
        <v>50711</v>
      </c>
      <c r="B951" t="s">
        <v>903</v>
      </c>
      <c r="C951">
        <v>50</v>
      </c>
      <c r="D951" t="s">
        <v>184</v>
      </c>
    </row>
    <row r="952" spans="1:4" x14ac:dyDescent="0.2">
      <c r="A952">
        <v>52019</v>
      </c>
      <c r="B952" t="s">
        <v>714</v>
      </c>
      <c r="C952">
        <v>52</v>
      </c>
      <c r="D952" t="s">
        <v>194</v>
      </c>
    </row>
    <row r="953" spans="1:4" x14ac:dyDescent="0.2">
      <c r="A953">
        <v>52022</v>
      </c>
      <c r="B953" t="s">
        <v>904</v>
      </c>
      <c r="C953">
        <v>52</v>
      </c>
      <c r="D953" t="s">
        <v>194</v>
      </c>
    </row>
    <row r="954" spans="1:4" x14ac:dyDescent="0.2">
      <c r="A954">
        <v>52051</v>
      </c>
      <c r="B954" t="s">
        <v>905</v>
      </c>
      <c r="C954">
        <v>52</v>
      </c>
      <c r="D954" t="s">
        <v>194</v>
      </c>
    </row>
    <row r="955" spans="1:4" x14ac:dyDescent="0.2">
      <c r="A955">
        <v>52079</v>
      </c>
      <c r="B955" t="s">
        <v>906</v>
      </c>
      <c r="C955">
        <v>52</v>
      </c>
      <c r="D955" t="s">
        <v>194</v>
      </c>
    </row>
    <row r="956" spans="1:4" x14ac:dyDescent="0.2">
      <c r="A956">
        <v>52083</v>
      </c>
      <c r="B956" t="s">
        <v>519</v>
      </c>
      <c r="C956">
        <v>52</v>
      </c>
      <c r="D956" t="s">
        <v>194</v>
      </c>
    </row>
    <row r="957" spans="1:4" x14ac:dyDescent="0.2">
      <c r="A957">
        <v>52110</v>
      </c>
      <c r="B957" t="s">
        <v>907</v>
      </c>
      <c r="C957">
        <v>52</v>
      </c>
      <c r="D957" t="s">
        <v>194</v>
      </c>
    </row>
    <row r="958" spans="1:4" x14ac:dyDescent="0.2">
      <c r="A958">
        <v>52203</v>
      </c>
      <c r="B958" t="s">
        <v>908</v>
      </c>
      <c r="C958">
        <v>52</v>
      </c>
      <c r="D958" t="s">
        <v>194</v>
      </c>
    </row>
    <row r="959" spans="1:4" x14ac:dyDescent="0.2">
      <c r="A959">
        <v>52207</v>
      </c>
      <c r="B959" t="s">
        <v>909</v>
      </c>
      <c r="C959">
        <v>52</v>
      </c>
      <c r="D959" t="s">
        <v>194</v>
      </c>
    </row>
    <row r="960" spans="1:4" x14ac:dyDescent="0.2">
      <c r="A960">
        <v>52210</v>
      </c>
      <c r="B960" t="s">
        <v>910</v>
      </c>
      <c r="C960">
        <v>52</v>
      </c>
      <c r="D960" t="s">
        <v>194</v>
      </c>
    </row>
    <row r="961" spans="1:4" x14ac:dyDescent="0.2">
      <c r="A961">
        <v>52215</v>
      </c>
      <c r="B961" t="s">
        <v>115</v>
      </c>
      <c r="C961">
        <v>52</v>
      </c>
      <c r="D961" t="s">
        <v>194</v>
      </c>
    </row>
    <row r="962" spans="1:4" x14ac:dyDescent="0.2">
      <c r="A962">
        <v>52224</v>
      </c>
      <c r="B962" t="s">
        <v>911</v>
      </c>
      <c r="C962">
        <v>52</v>
      </c>
      <c r="D962" t="s">
        <v>194</v>
      </c>
    </row>
    <row r="963" spans="1:4" x14ac:dyDescent="0.2">
      <c r="A963">
        <v>52227</v>
      </c>
      <c r="B963" t="s">
        <v>912</v>
      </c>
      <c r="C963">
        <v>52</v>
      </c>
      <c r="D963" t="s">
        <v>194</v>
      </c>
    </row>
    <row r="964" spans="1:4" x14ac:dyDescent="0.2">
      <c r="A964">
        <v>52233</v>
      </c>
      <c r="B964" t="s">
        <v>913</v>
      </c>
      <c r="C964">
        <v>52</v>
      </c>
      <c r="D964" t="s">
        <v>194</v>
      </c>
    </row>
    <row r="965" spans="1:4" x14ac:dyDescent="0.2">
      <c r="A965">
        <v>52240</v>
      </c>
      <c r="B965" t="s">
        <v>914</v>
      </c>
      <c r="C965">
        <v>52</v>
      </c>
      <c r="D965" t="s">
        <v>194</v>
      </c>
    </row>
    <row r="966" spans="1:4" x14ac:dyDescent="0.2">
      <c r="A966">
        <v>52250</v>
      </c>
      <c r="B966" t="s">
        <v>915</v>
      </c>
      <c r="C966">
        <v>52</v>
      </c>
      <c r="D966" t="s">
        <v>194</v>
      </c>
    </row>
    <row r="967" spans="1:4" x14ac:dyDescent="0.2">
      <c r="A967">
        <v>52254</v>
      </c>
      <c r="B967" t="s">
        <v>916</v>
      </c>
      <c r="C967">
        <v>52</v>
      </c>
      <c r="D967" t="s">
        <v>194</v>
      </c>
    </row>
    <row r="968" spans="1:4" x14ac:dyDescent="0.2">
      <c r="A968">
        <v>52256</v>
      </c>
      <c r="B968" t="s">
        <v>917</v>
      </c>
      <c r="C968">
        <v>52</v>
      </c>
      <c r="D968" t="s">
        <v>194</v>
      </c>
    </row>
    <row r="969" spans="1:4" x14ac:dyDescent="0.2">
      <c r="A969">
        <v>52258</v>
      </c>
      <c r="B969" t="s">
        <v>918</v>
      </c>
      <c r="C969">
        <v>52</v>
      </c>
      <c r="D969" t="s">
        <v>194</v>
      </c>
    </row>
    <row r="970" spans="1:4" x14ac:dyDescent="0.2">
      <c r="A970">
        <v>52287</v>
      </c>
      <c r="B970" t="s">
        <v>919</v>
      </c>
      <c r="C970">
        <v>52</v>
      </c>
      <c r="D970" t="s">
        <v>194</v>
      </c>
    </row>
    <row r="971" spans="1:4" x14ac:dyDescent="0.2">
      <c r="A971">
        <v>52317</v>
      </c>
      <c r="B971" t="s">
        <v>920</v>
      </c>
      <c r="C971">
        <v>52</v>
      </c>
      <c r="D971" t="s">
        <v>194</v>
      </c>
    </row>
    <row r="972" spans="1:4" x14ac:dyDescent="0.2">
      <c r="A972">
        <v>52320</v>
      </c>
      <c r="B972" t="s">
        <v>921</v>
      </c>
      <c r="C972">
        <v>52</v>
      </c>
      <c r="D972" t="s">
        <v>194</v>
      </c>
    </row>
    <row r="973" spans="1:4" x14ac:dyDescent="0.2">
      <c r="A973">
        <v>52323</v>
      </c>
      <c r="B973" t="s">
        <v>922</v>
      </c>
      <c r="C973">
        <v>52</v>
      </c>
      <c r="D973" t="s">
        <v>194</v>
      </c>
    </row>
    <row r="974" spans="1:4" x14ac:dyDescent="0.2">
      <c r="A974">
        <v>52352</v>
      </c>
      <c r="B974" t="s">
        <v>923</v>
      </c>
      <c r="C974">
        <v>52</v>
      </c>
      <c r="D974" t="s">
        <v>194</v>
      </c>
    </row>
    <row r="975" spans="1:4" x14ac:dyDescent="0.2">
      <c r="A975">
        <v>52354</v>
      </c>
      <c r="B975" t="s">
        <v>924</v>
      </c>
      <c r="C975">
        <v>52</v>
      </c>
      <c r="D975" t="s">
        <v>194</v>
      </c>
    </row>
    <row r="976" spans="1:4" x14ac:dyDescent="0.2">
      <c r="A976">
        <v>52381</v>
      </c>
      <c r="B976" t="s">
        <v>925</v>
      </c>
      <c r="C976">
        <v>52</v>
      </c>
      <c r="D976" t="s">
        <v>194</v>
      </c>
    </row>
    <row r="977" spans="1:4" x14ac:dyDescent="0.2">
      <c r="A977">
        <v>52385</v>
      </c>
      <c r="B977" t="s">
        <v>926</v>
      </c>
      <c r="C977">
        <v>52</v>
      </c>
      <c r="D977" t="s">
        <v>194</v>
      </c>
    </row>
    <row r="978" spans="1:4" x14ac:dyDescent="0.2">
      <c r="A978">
        <v>52390</v>
      </c>
      <c r="B978" t="s">
        <v>927</v>
      </c>
      <c r="C978">
        <v>52</v>
      </c>
      <c r="D978" t="s">
        <v>194</v>
      </c>
    </row>
    <row r="979" spans="1:4" x14ac:dyDescent="0.2">
      <c r="A979">
        <v>52405</v>
      </c>
      <c r="B979" t="s">
        <v>928</v>
      </c>
      <c r="C979">
        <v>52</v>
      </c>
      <c r="D979" t="s">
        <v>194</v>
      </c>
    </row>
    <row r="980" spans="1:4" x14ac:dyDescent="0.2">
      <c r="A980">
        <v>52418</v>
      </c>
      <c r="B980" t="s">
        <v>929</v>
      </c>
      <c r="C980">
        <v>52</v>
      </c>
      <c r="D980" t="s">
        <v>194</v>
      </c>
    </row>
    <row r="981" spans="1:4" x14ac:dyDescent="0.2">
      <c r="A981">
        <v>52427</v>
      </c>
      <c r="B981" t="s">
        <v>930</v>
      </c>
      <c r="C981">
        <v>52</v>
      </c>
      <c r="D981" t="s">
        <v>194</v>
      </c>
    </row>
    <row r="982" spans="1:4" x14ac:dyDescent="0.2">
      <c r="A982">
        <v>52435</v>
      </c>
      <c r="B982" t="s">
        <v>931</v>
      </c>
      <c r="C982">
        <v>52</v>
      </c>
      <c r="D982" t="s">
        <v>194</v>
      </c>
    </row>
    <row r="983" spans="1:4" x14ac:dyDescent="0.2">
      <c r="A983">
        <v>52473</v>
      </c>
      <c r="B983" t="s">
        <v>753</v>
      </c>
      <c r="C983">
        <v>52</v>
      </c>
      <c r="D983" t="s">
        <v>194</v>
      </c>
    </row>
    <row r="984" spans="1:4" x14ac:dyDescent="0.2">
      <c r="A984">
        <v>52480</v>
      </c>
      <c r="B984" t="s">
        <v>932</v>
      </c>
      <c r="C984">
        <v>52</v>
      </c>
      <c r="D984" t="s">
        <v>194</v>
      </c>
    </row>
    <row r="985" spans="1:4" x14ac:dyDescent="0.2">
      <c r="A985">
        <v>52490</v>
      </c>
      <c r="B985" t="s">
        <v>933</v>
      </c>
      <c r="C985">
        <v>52</v>
      </c>
      <c r="D985" t="s">
        <v>194</v>
      </c>
    </row>
    <row r="986" spans="1:4" x14ac:dyDescent="0.2">
      <c r="A986">
        <v>52506</v>
      </c>
      <c r="B986" t="s">
        <v>934</v>
      </c>
      <c r="C986">
        <v>52</v>
      </c>
      <c r="D986" t="s">
        <v>194</v>
      </c>
    </row>
    <row r="987" spans="1:4" x14ac:dyDescent="0.2">
      <c r="A987">
        <v>52520</v>
      </c>
      <c r="B987" t="s">
        <v>935</v>
      </c>
      <c r="C987">
        <v>52</v>
      </c>
      <c r="D987" t="s">
        <v>194</v>
      </c>
    </row>
    <row r="988" spans="1:4" x14ac:dyDescent="0.2">
      <c r="A988">
        <v>52540</v>
      </c>
      <c r="B988" t="s">
        <v>936</v>
      </c>
      <c r="C988">
        <v>52</v>
      </c>
      <c r="D988" t="s">
        <v>194</v>
      </c>
    </row>
    <row r="989" spans="1:4" x14ac:dyDescent="0.2">
      <c r="A989">
        <v>52560</v>
      </c>
      <c r="B989" t="s">
        <v>937</v>
      </c>
      <c r="C989">
        <v>52</v>
      </c>
      <c r="D989" t="s">
        <v>194</v>
      </c>
    </row>
    <row r="990" spans="1:4" x14ac:dyDescent="0.2">
      <c r="A990">
        <v>52565</v>
      </c>
      <c r="B990" t="s">
        <v>938</v>
      </c>
      <c r="C990">
        <v>52</v>
      </c>
      <c r="D990" t="s">
        <v>194</v>
      </c>
    </row>
    <row r="991" spans="1:4" x14ac:dyDescent="0.2">
      <c r="A991">
        <v>52573</v>
      </c>
      <c r="B991" t="s">
        <v>939</v>
      </c>
      <c r="C991">
        <v>52</v>
      </c>
      <c r="D991" t="s">
        <v>194</v>
      </c>
    </row>
    <row r="992" spans="1:4" x14ac:dyDescent="0.2">
      <c r="A992">
        <v>52612</v>
      </c>
      <c r="B992" t="s">
        <v>770</v>
      </c>
      <c r="C992">
        <v>52</v>
      </c>
      <c r="D992" t="s">
        <v>194</v>
      </c>
    </row>
    <row r="993" spans="1:4" x14ac:dyDescent="0.2">
      <c r="A993">
        <v>52621</v>
      </c>
      <c r="B993" t="s">
        <v>940</v>
      </c>
      <c r="C993">
        <v>52</v>
      </c>
      <c r="D993" t="s">
        <v>194</v>
      </c>
    </row>
    <row r="994" spans="1:4" x14ac:dyDescent="0.2">
      <c r="A994">
        <v>52678</v>
      </c>
      <c r="B994" t="s">
        <v>941</v>
      </c>
      <c r="C994">
        <v>52</v>
      </c>
      <c r="D994" t="s">
        <v>194</v>
      </c>
    </row>
    <row r="995" spans="1:4" x14ac:dyDescent="0.2">
      <c r="A995">
        <v>52683</v>
      </c>
      <c r="B995" t="s">
        <v>942</v>
      </c>
      <c r="C995">
        <v>52</v>
      </c>
      <c r="D995" t="s">
        <v>194</v>
      </c>
    </row>
    <row r="996" spans="1:4" x14ac:dyDescent="0.2">
      <c r="A996">
        <v>52685</v>
      </c>
      <c r="B996" t="s">
        <v>943</v>
      </c>
      <c r="C996">
        <v>52</v>
      </c>
      <c r="D996" t="s">
        <v>194</v>
      </c>
    </row>
    <row r="997" spans="1:4" x14ac:dyDescent="0.2">
      <c r="A997">
        <v>52687</v>
      </c>
      <c r="B997" t="s">
        <v>944</v>
      </c>
      <c r="C997">
        <v>52</v>
      </c>
      <c r="D997" t="s">
        <v>194</v>
      </c>
    </row>
    <row r="998" spans="1:4" x14ac:dyDescent="0.2">
      <c r="A998">
        <v>52694</v>
      </c>
      <c r="B998" t="s">
        <v>945</v>
      </c>
      <c r="C998">
        <v>52</v>
      </c>
      <c r="D998" t="s">
        <v>194</v>
      </c>
    </row>
    <row r="999" spans="1:4" x14ac:dyDescent="0.2">
      <c r="A999">
        <v>52696</v>
      </c>
      <c r="B999" t="s">
        <v>450</v>
      </c>
      <c r="C999">
        <v>52</v>
      </c>
      <c r="D999" t="s">
        <v>194</v>
      </c>
    </row>
    <row r="1000" spans="1:4" x14ac:dyDescent="0.2">
      <c r="A1000">
        <v>52699</v>
      </c>
      <c r="B1000" t="s">
        <v>946</v>
      </c>
      <c r="C1000">
        <v>52</v>
      </c>
      <c r="D1000" t="s">
        <v>194</v>
      </c>
    </row>
    <row r="1001" spans="1:4" x14ac:dyDescent="0.2">
      <c r="A1001">
        <v>52720</v>
      </c>
      <c r="B1001" t="s">
        <v>947</v>
      </c>
      <c r="C1001">
        <v>52</v>
      </c>
      <c r="D1001" t="s">
        <v>194</v>
      </c>
    </row>
    <row r="1002" spans="1:4" x14ac:dyDescent="0.2">
      <c r="A1002">
        <v>52786</v>
      </c>
      <c r="B1002" t="s">
        <v>948</v>
      </c>
      <c r="C1002">
        <v>52</v>
      </c>
      <c r="D1002" t="s">
        <v>194</v>
      </c>
    </row>
    <row r="1003" spans="1:4" x14ac:dyDescent="0.2">
      <c r="A1003">
        <v>52788</v>
      </c>
      <c r="B1003" t="s">
        <v>949</v>
      </c>
      <c r="C1003">
        <v>52</v>
      </c>
      <c r="D1003" t="s">
        <v>194</v>
      </c>
    </row>
    <row r="1004" spans="1:4" x14ac:dyDescent="0.2">
      <c r="A1004">
        <v>52838</v>
      </c>
      <c r="B1004" t="s">
        <v>950</v>
      </c>
      <c r="C1004">
        <v>52</v>
      </c>
      <c r="D1004" t="s">
        <v>194</v>
      </c>
    </row>
    <row r="1005" spans="1:4" x14ac:dyDescent="0.2">
      <c r="A1005">
        <v>52885</v>
      </c>
      <c r="B1005" t="s">
        <v>951</v>
      </c>
      <c r="C1005">
        <v>52</v>
      </c>
      <c r="D1005" t="s">
        <v>194</v>
      </c>
    </row>
    <row r="1006" spans="1:4" x14ac:dyDescent="0.2">
      <c r="A1006">
        <v>54003</v>
      </c>
      <c r="B1006" t="s">
        <v>952</v>
      </c>
      <c r="C1006">
        <v>54</v>
      </c>
      <c r="D1006" t="s">
        <v>205</v>
      </c>
    </row>
    <row r="1007" spans="1:4" x14ac:dyDescent="0.2">
      <c r="A1007">
        <v>54051</v>
      </c>
      <c r="B1007" t="s">
        <v>953</v>
      </c>
      <c r="C1007">
        <v>54</v>
      </c>
      <c r="D1007" t="s">
        <v>205</v>
      </c>
    </row>
    <row r="1008" spans="1:4" x14ac:dyDescent="0.2">
      <c r="A1008">
        <v>54099</v>
      </c>
      <c r="B1008" t="s">
        <v>954</v>
      </c>
      <c r="C1008">
        <v>54</v>
      </c>
      <c r="D1008" t="s">
        <v>205</v>
      </c>
    </row>
    <row r="1009" spans="1:4" x14ac:dyDescent="0.2">
      <c r="A1009">
        <v>54109</v>
      </c>
      <c r="B1009" t="s">
        <v>955</v>
      </c>
      <c r="C1009">
        <v>54</v>
      </c>
      <c r="D1009" t="s">
        <v>205</v>
      </c>
    </row>
    <row r="1010" spans="1:4" x14ac:dyDescent="0.2">
      <c r="A1010">
        <v>54125</v>
      </c>
      <c r="B1010" t="s">
        <v>956</v>
      </c>
      <c r="C1010">
        <v>54</v>
      </c>
      <c r="D1010" t="s">
        <v>205</v>
      </c>
    </row>
    <row r="1011" spans="1:4" x14ac:dyDescent="0.2">
      <c r="A1011">
        <v>54206</v>
      </c>
      <c r="B1011" t="s">
        <v>957</v>
      </c>
      <c r="C1011">
        <v>54</v>
      </c>
      <c r="D1011" t="s">
        <v>205</v>
      </c>
    </row>
    <row r="1012" spans="1:4" x14ac:dyDescent="0.2">
      <c r="A1012">
        <v>54239</v>
      </c>
      <c r="B1012" t="s">
        <v>958</v>
      </c>
      <c r="C1012">
        <v>54</v>
      </c>
      <c r="D1012" t="s">
        <v>205</v>
      </c>
    </row>
    <row r="1013" spans="1:4" x14ac:dyDescent="0.2">
      <c r="A1013">
        <v>54245</v>
      </c>
      <c r="B1013" t="s">
        <v>819</v>
      </c>
      <c r="C1013">
        <v>54</v>
      </c>
      <c r="D1013" t="s">
        <v>205</v>
      </c>
    </row>
    <row r="1014" spans="1:4" x14ac:dyDescent="0.2">
      <c r="A1014">
        <v>54250</v>
      </c>
      <c r="B1014" t="s">
        <v>959</v>
      </c>
      <c r="C1014">
        <v>54</v>
      </c>
      <c r="D1014" t="s">
        <v>205</v>
      </c>
    </row>
    <row r="1015" spans="1:4" x14ac:dyDescent="0.2">
      <c r="A1015">
        <v>54344</v>
      </c>
      <c r="B1015" t="s">
        <v>960</v>
      </c>
      <c r="C1015">
        <v>54</v>
      </c>
      <c r="D1015" t="s">
        <v>205</v>
      </c>
    </row>
    <row r="1016" spans="1:4" x14ac:dyDescent="0.2">
      <c r="A1016">
        <v>54347</v>
      </c>
      <c r="B1016" t="s">
        <v>961</v>
      </c>
      <c r="C1016">
        <v>54</v>
      </c>
      <c r="D1016" t="s">
        <v>205</v>
      </c>
    </row>
    <row r="1017" spans="1:4" x14ac:dyDescent="0.2">
      <c r="A1017">
        <v>54377</v>
      </c>
      <c r="B1017" t="s">
        <v>962</v>
      </c>
      <c r="C1017">
        <v>54</v>
      </c>
      <c r="D1017" t="s">
        <v>205</v>
      </c>
    </row>
    <row r="1018" spans="1:4" x14ac:dyDescent="0.2">
      <c r="A1018">
        <v>54385</v>
      </c>
      <c r="B1018" t="s">
        <v>963</v>
      </c>
      <c r="C1018">
        <v>54</v>
      </c>
      <c r="D1018" t="s">
        <v>205</v>
      </c>
    </row>
    <row r="1019" spans="1:4" x14ac:dyDescent="0.2">
      <c r="A1019">
        <v>54398</v>
      </c>
      <c r="B1019" t="s">
        <v>964</v>
      </c>
      <c r="C1019">
        <v>54</v>
      </c>
      <c r="D1019" t="s">
        <v>205</v>
      </c>
    </row>
    <row r="1020" spans="1:4" x14ac:dyDescent="0.2">
      <c r="A1020">
        <v>54405</v>
      </c>
      <c r="B1020" t="s">
        <v>965</v>
      </c>
      <c r="C1020">
        <v>54</v>
      </c>
      <c r="D1020" t="s">
        <v>205</v>
      </c>
    </row>
    <row r="1021" spans="1:4" x14ac:dyDescent="0.2">
      <c r="A1021">
        <v>54418</v>
      </c>
      <c r="B1021" t="s">
        <v>966</v>
      </c>
      <c r="C1021">
        <v>54</v>
      </c>
      <c r="D1021" t="s">
        <v>205</v>
      </c>
    </row>
    <row r="1022" spans="1:4" x14ac:dyDescent="0.2">
      <c r="A1022">
        <v>54480</v>
      </c>
      <c r="B1022" t="s">
        <v>967</v>
      </c>
      <c r="C1022">
        <v>54</v>
      </c>
      <c r="D1022" t="s">
        <v>205</v>
      </c>
    </row>
    <row r="1023" spans="1:4" x14ac:dyDescent="0.2">
      <c r="A1023">
        <v>54520</v>
      </c>
      <c r="B1023" t="s">
        <v>968</v>
      </c>
      <c r="C1023">
        <v>54</v>
      </c>
      <c r="D1023" t="s">
        <v>205</v>
      </c>
    </row>
    <row r="1024" spans="1:4" x14ac:dyDescent="0.2">
      <c r="A1024">
        <v>54553</v>
      </c>
      <c r="B1024" t="s">
        <v>969</v>
      </c>
      <c r="C1024">
        <v>54</v>
      </c>
      <c r="D1024" t="s">
        <v>205</v>
      </c>
    </row>
    <row r="1025" spans="1:4" x14ac:dyDescent="0.2">
      <c r="A1025">
        <v>54599</v>
      </c>
      <c r="B1025" t="s">
        <v>970</v>
      </c>
      <c r="C1025">
        <v>54</v>
      </c>
      <c r="D1025" t="s">
        <v>205</v>
      </c>
    </row>
    <row r="1026" spans="1:4" x14ac:dyDescent="0.2">
      <c r="A1026">
        <v>54660</v>
      </c>
      <c r="B1026" t="s">
        <v>971</v>
      </c>
      <c r="C1026">
        <v>54</v>
      </c>
      <c r="D1026" t="s">
        <v>205</v>
      </c>
    </row>
    <row r="1027" spans="1:4" x14ac:dyDescent="0.2">
      <c r="A1027">
        <v>54670</v>
      </c>
      <c r="B1027" t="s">
        <v>972</v>
      </c>
      <c r="C1027">
        <v>54</v>
      </c>
      <c r="D1027" t="s">
        <v>205</v>
      </c>
    </row>
    <row r="1028" spans="1:4" x14ac:dyDescent="0.2">
      <c r="A1028">
        <v>54673</v>
      </c>
      <c r="B1028" t="s">
        <v>773</v>
      </c>
      <c r="C1028">
        <v>54</v>
      </c>
      <c r="D1028" t="s">
        <v>205</v>
      </c>
    </row>
    <row r="1029" spans="1:4" x14ac:dyDescent="0.2">
      <c r="A1029">
        <v>54680</v>
      </c>
      <c r="B1029" t="s">
        <v>973</v>
      </c>
      <c r="C1029">
        <v>54</v>
      </c>
      <c r="D1029" t="s">
        <v>205</v>
      </c>
    </row>
    <row r="1030" spans="1:4" x14ac:dyDescent="0.2">
      <c r="A1030">
        <v>54720</v>
      </c>
      <c r="B1030" t="s">
        <v>974</v>
      </c>
      <c r="C1030">
        <v>54</v>
      </c>
      <c r="D1030" t="s">
        <v>205</v>
      </c>
    </row>
    <row r="1031" spans="1:4" x14ac:dyDescent="0.2">
      <c r="A1031">
        <v>54743</v>
      </c>
      <c r="B1031" t="s">
        <v>975</v>
      </c>
      <c r="C1031">
        <v>54</v>
      </c>
      <c r="D1031" t="s">
        <v>205</v>
      </c>
    </row>
    <row r="1032" spans="1:4" x14ac:dyDescent="0.2">
      <c r="A1032">
        <v>54800</v>
      </c>
      <c r="B1032" t="s">
        <v>976</v>
      </c>
      <c r="C1032">
        <v>54</v>
      </c>
      <c r="D1032" t="s">
        <v>205</v>
      </c>
    </row>
    <row r="1033" spans="1:4" x14ac:dyDescent="0.2">
      <c r="A1033">
        <v>54810</v>
      </c>
      <c r="B1033" t="s">
        <v>977</v>
      </c>
      <c r="C1033">
        <v>54</v>
      </c>
      <c r="D1033" t="s">
        <v>205</v>
      </c>
    </row>
    <row r="1034" spans="1:4" x14ac:dyDescent="0.2">
      <c r="A1034">
        <v>54871</v>
      </c>
      <c r="B1034" t="s">
        <v>978</v>
      </c>
      <c r="C1034">
        <v>54</v>
      </c>
      <c r="D1034" t="s">
        <v>205</v>
      </c>
    </row>
    <row r="1035" spans="1:4" x14ac:dyDescent="0.2">
      <c r="A1035">
        <v>54874</v>
      </c>
      <c r="B1035" t="s">
        <v>979</v>
      </c>
      <c r="C1035">
        <v>54</v>
      </c>
      <c r="D1035" t="s">
        <v>205</v>
      </c>
    </row>
    <row r="1036" spans="1:4" x14ac:dyDescent="0.2">
      <c r="A1036">
        <v>54998</v>
      </c>
      <c r="B1036" t="s">
        <v>62</v>
      </c>
      <c r="C1036">
        <v>54</v>
      </c>
      <c r="D1036" t="s">
        <v>205</v>
      </c>
    </row>
    <row r="1037" spans="1:4" x14ac:dyDescent="0.2">
      <c r="A1037">
        <v>63111</v>
      </c>
      <c r="B1037" t="s">
        <v>523</v>
      </c>
      <c r="C1037">
        <v>63</v>
      </c>
      <c r="D1037" t="s">
        <v>216</v>
      </c>
    </row>
    <row r="1038" spans="1:4" x14ac:dyDescent="0.2">
      <c r="A1038">
        <v>63548</v>
      </c>
      <c r="B1038" t="s">
        <v>980</v>
      </c>
      <c r="C1038">
        <v>63</v>
      </c>
      <c r="D1038" t="s">
        <v>216</v>
      </c>
    </row>
    <row r="1039" spans="1:4" x14ac:dyDescent="0.2">
      <c r="A1039">
        <v>66088</v>
      </c>
      <c r="B1039" t="s">
        <v>981</v>
      </c>
      <c r="C1039">
        <v>66</v>
      </c>
      <c r="D1039" t="s">
        <v>227</v>
      </c>
    </row>
    <row r="1040" spans="1:4" x14ac:dyDescent="0.2">
      <c r="A1040">
        <v>66572</v>
      </c>
      <c r="B1040" t="s">
        <v>982</v>
      </c>
      <c r="C1040">
        <v>66</v>
      </c>
      <c r="D1040" t="s">
        <v>227</v>
      </c>
    </row>
    <row r="1041" spans="1:4" x14ac:dyDescent="0.2">
      <c r="A1041">
        <v>66687</v>
      </c>
      <c r="B1041" t="s">
        <v>453</v>
      </c>
      <c r="C1041">
        <v>66</v>
      </c>
      <c r="D1041" t="s">
        <v>227</v>
      </c>
    </row>
    <row r="1042" spans="1:4" x14ac:dyDescent="0.2">
      <c r="A1042">
        <v>68013</v>
      </c>
      <c r="B1042" t="s">
        <v>983</v>
      </c>
      <c r="C1042">
        <v>68</v>
      </c>
      <c r="D1042" t="s">
        <v>239</v>
      </c>
    </row>
    <row r="1043" spans="1:4" x14ac:dyDescent="0.2">
      <c r="A1043">
        <v>68020</v>
      </c>
      <c r="B1043" t="s">
        <v>639</v>
      </c>
      <c r="C1043">
        <v>68</v>
      </c>
      <c r="D1043" t="s">
        <v>239</v>
      </c>
    </row>
    <row r="1044" spans="1:4" x14ac:dyDescent="0.2">
      <c r="A1044">
        <v>68051</v>
      </c>
      <c r="B1044" t="s">
        <v>984</v>
      </c>
      <c r="C1044">
        <v>68</v>
      </c>
      <c r="D1044" t="s">
        <v>239</v>
      </c>
    </row>
    <row r="1045" spans="1:4" x14ac:dyDescent="0.2">
      <c r="A1045">
        <v>68079</v>
      </c>
      <c r="B1045" t="s">
        <v>985</v>
      </c>
      <c r="C1045">
        <v>68</v>
      </c>
      <c r="D1045" t="s">
        <v>239</v>
      </c>
    </row>
    <row r="1046" spans="1:4" x14ac:dyDescent="0.2">
      <c r="A1046">
        <v>68092</v>
      </c>
      <c r="B1046" t="s">
        <v>387</v>
      </c>
      <c r="C1046">
        <v>68</v>
      </c>
      <c r="D1046" t="s">
        <v>239</v>
      </c>
    </row>
    <row r="1047" spans="1:4" x14ac:dyDescent="0.2">
      <c r="A1047">
        <v>68101</v>
      </c>
      <c r="B1047" t="s">
        <v>50</v>
      </c>
      <c r="C1047">
        <v>68</v>
      </c>
      <c r="D1047" t="s">
        <v>239</v>
      </c>
    </row>
    <row r="1048" spans="1:4" x14ac:dyDescent="0.2">
      <c r="A1048">
        <v>68121</v>
      </c>
      <c r="B1048" t="s">
        <v>720</v>
      </c>
      <c r="C1048">
        <v>68</v>
      </c>
      <c r="D1048" t="s">
        <v>239</v>
      </c>
    </row>
    <row r="1049" spans="1:4" x14ac:dyDescent="0.2">
      <c r="A1049">
        <v>68132</v>
      </c>
      <c r="B1049" t="s">
        <v>986</v>
      </c>
      <c r="C1049">
        <v>68</v>
      </c>
      <c r="D1049" t="s">
        <v>239</v>
      </c>
    </row>
    <row r="1050" spans="1:4" x14ac:dyDescent="0.2">
      <c r="A1050">
        <v>68147</v>
      </c>
      <c r="B1050" t="s">
        <v>987</v>
      </c>
      <c r="C1050">
        <v>68</v>
      </c>
      <c r="D1050" t="s">
        <v>239</v>
      </c>
    </row>
    <row r="1051" spans="1:4" x14ac:dyDescent="0.2">
      <c r="A1051">
        <v>68152</v>
      </c>
      <c r="B1051" t="s">
        <v>988</v>
      </c>
      <c r="C1051">
        <v>68</v>
      </c>
      <c r="D1051" t="s">
        <v>239</v>
      </c>
    </row>
    <row r="1052" spans="1:4" x14ac:dyDescent="0.2">
      <c r="A1052">
        <v>68160</v>
      </c>
      <c r="B1052" t="s">
        <v>989</v>
      </c>
      <c r="C1052">
        <v>68</v>
      </c>
      <c r="D1052" t="s">
        <v>239</v>
      </c>
    </row>
    <row r="1053" spans="1:4" x14ac:dyDescent="0.2">
      <c r="A1053">
        <v>68162</v>
      </c>
      <c r="B1053" t="s">
        <v>990</v>
      </c>
      <c r="C1053">
        <v>68</v>
      </c>
      <c r="D1053" t="s">
        <v>239</v>
      </c>
    </row>
    <row r="1054" spans="1:4" x14ac:dyDescent="0.2">
      <c r="A1054">
        <v>68169</v>
      </c>
      <c r="B1054" t="s">
        <v>991</v>
      </c>
      <c r="C1054">
        <v>68</v>
      </c>
      <c r="D1054" t="s">
        <v>239</v>
      </c>
    </row>
    <row r="1055" spans="1:4" x14ac:dyDescent="0.2">
      <c r="A1055">
        <v>68176</v>
      </c>
      <c r="B1055" t="s">
        <v>699</v>
      </c>
      <c r="C1055">
        <v>68</v>
      </c>
      <c r="D1055" t="s">
        <v>239</v>
      </c>
    </row>
    <row r="1056" spans="1:4" x14ac:dyDescent="0.2">
      <c r="A1056">
        <v>68179</v>
      </c>
      <c r="B1056" t="s">
        <v>992</v>
      </c>
      <c r="C1056">
        <v>68</v>
      </c>
      <c r="D1056" t="s">
        <v>239</v>
      </c>
    </row>
    <row r="1057" spans="1:4" x14ac:dyDescent="0.2">
      <c r="A1057">
        <v>68190</v>
      </c>
      <c r="B1057" t="s">
        <v>993</v>
      </c>
      <c r="C1057">
        <v>68</v>
      </c>
      <c r="D1057" t="s">
        <v>239</v>
      </c>
    </row>
    <row r="1058" spans="1:4" x14ac:dyDescent="0.2">
      <c r="A1058">
        <v>68207</v>
      </c>
      <c r="B1058" t="s">
        <v>399</v>
      </c>
      <c r="C1058">
        <v>68</v>
      </c>
      <c r="D1058" t="s">
        <v>239</v>
      </c>
    </row>
    <row r="1059" spans="1:4" x14ac:dyDescent="0.2">
      <c r="A1059">
        <v>68209</v>
      </c>
      <c r="B1059" t="s">
        <v>994</v>
      </c>
      <c r="C1059">
        <v>68</v>
      </c>
      <c r="D1059" t="s">
        <v>239</v>
      </c>
    </row>
    <row r="1060" spans="1:4" x14ac:dyDescent="0.2">
      <c r="A1060">
        <v>68211</v>
      </c>
      <c r="B1060" t="s">
        <v>995</v>
      </c>
      <c r="C1060">
        <v>68</v>
      </c>
      <c r="D1060" t="s">
        <v>239</v>
      </c>
    </row>
    <row r="1061" spans="1:4" x14ac:dyDescent="0.2">
      <c r="A1061">
        <v>68217</v>
      </c>
      <c r="B1061" t="s">
        <v>996</v>
      </c>
      <c r="C1061">
        <v>68</v>
      </c>
      <c r="D1061" t="s">
        <v>239</v>
      </c>
    </row>
    <row r="1062" spans="1:4" x14ac:dyDescent="0.2">
      <c r="A1062">
        <v>68229</v>
      </c>
      <c r="B1062" t="s">
        <v>997</v>
      </c>
      <c r="C1062">
        <v>68</v>
      </c>
      <c r="D1062" t="s">
        <v>239</v>
      </c>
    </row>
    <row r="1063" spans="1:4" x14ac:dyDescent="0.2">
      <c r="A1063">
        <v>68235</v>
      </c>
      <c r="B1063" t="s">
        <v>819</v>
      </c>
      <c r="C1063">
        <v>68</v>
      </c>
      <c r="D1063" t="s">
        <v>239</v>
      </c>
    </row>
    <row r="1064" spans="1:4" x14ac:dyDescent="0.2">
      <c r="A1064">
        <v>68245</v>
      </c>
      <c r="B1064" t="s">
        <v>998</v>
      </c>
      <c r="C1064">
        <v>68</v>
      </c>
      <c r="D1064" t="s">
        <v>239</v>
      </c>
    </row>
    <row r="1065" spans="1:4" x14ac:dyDescent="0.2">
      <c r="A1065">
        <v>68250</v>
      </c>
      <c r="B1065" t="s">
        <v>727</v>
      </c>
      <c r="C1065">
        <v>68</v>
      </c>
      <c r="D1065" t="s">
        <v>239</v>
      </c>
    </row>
    <row r="1066" spans="1:4" x14ac:dyDescent="0.2">
      <c r="A1066">
        <v>68264</v>
      </c>
      <c r="B1066" t="s">
        <v>999</v>
      </c>
      <c r="C1066">
        <v>68</v>
      </c>
      <c r="D1066" t="s">
        <v>239</v>
      </c>
    </row>
    <row r="1067" spans="1:4" x14ac:dyDescent="0.2">
      <c r="A1067">
        <v>68266</v>
      </c>
      <c r="B1067" t="s">
        <v>1000</v>
      </c>
      <c r="C1067">
        <v>68</v>
      </c>
      <c r="D1067" t="s">
        <v>239</v>
      </c>
    </row>
    <row r="1068" spans="1:4" x14ac:dyDescent="0.2">
      <c r="A1068">
        <v>68271</v>
      </c>
      <c r="B1068" t="s">
        <v>1001</v>
      </c>
      <c r="C1068">
        <v>68</v>
      </c>
      <c r="D1068" t="s">
        <v>239</v>
      </c>
    </row>
    <row r="1069" spans="1:4" x14ac:dyDescent="0.2">
      <c r="A1069">
        <v>68276</v>
      </c>
      <c r="B1069" t="s">
        <v>1002</v>
      </c>
      <c r="C1069">
        <v>68</v>
      </c>
      <c r="D1069" t="s">
        <v>239</v>
      </c>
    </row>
    <row r="1070" spans="1:4" x14ac:dyDescent="0.2">
      <c r="A1070">
        <v>68296</v>
      </c>
      <c r="B1070" t="s">
        <v>1003</v>
      </c>
      <c r="C1070">
        <v>68</v>
      </c>
      <c r="D1070" t="s">
        <v>239</v>
      </c>
    </row>
    <row r="1071" spans="1:4" x14ac:dyDescent="0.2">
      <c r="A1071">
        <v>68298</v>
      </c>
      <c r="B1071" t="s">
        <v>1004</v>
      </c>
      <c r="C1071">
        <v>68</v>
      </c>
      <c r="D1071" t="s">
        <v>239</v>
      </c>
    </row>
    <row r="1072" spans="1:4" x14ac:dyDescent="0.2">
      <c r="A1072">
        <v>68318</v>
      </c>
      <c r="B1072" t="s">
        <v>1005</v>
      </c>
      <c r="C1072">
        <v>68</v>
      </c>
      <c r="D1072" t="s">
        <v>239</v>
      </c>
    </row>
    <row r="1073" spans="1:4" x14ac:dyDescent="0.2">
      <c r="A1073">
        <v>68320</v>
      </c>
      <c r="B1073" t="s">
        <v>23</v>
      </c>
      <c r="C1073">
        <v>68</v>
      </c>
      <c r="D1073" t="s">
        <v>239</v>
      </c>
    </row>
    <row r="1074" spans="1:4" x14ac:dyDescent="0.2">
      <c r="A1074">
        <v>68322</v>
      </c>
      <c r="B1074" t="s">
        <v>1006</v>
      </c>
      <c r="C1074">
        <v>68</v>
      </c>
      <c r="D1074" t="s">
        <v>239</v>
      </c>
    </row>
    <row r="1075" spans="1:4" x14ac:dyDescent="0.2">
      <c r="A1075">
        <v>68324</v>
      </c>
      <c r="B1075" t="s">
        <v>1007</v>
      </c>
      <c r="C1075">
        <v>68</v>
      </c>
      <c r="D1075" t="s">
        <v>239</v>
      </c>
    </row>
    <row r="1076" spans="1:4" x14ac:dyDescent="0.2">
      <c r="A1076">
        <v>68327</v>
      </c>
      <c r="B1076" t="s">
        <v>1008</v>
      </c>
      <c r="C1076">
        <v>68</v>
      </c>
      <c r="D1076" t="s">
        <v>239</v>
      </c>
    </row>
    <row r="1077" spans="1:4" x14ac:dyDescent="0.2">
      <c r="A1077">
        <v>68344</v>
      </c>
      <c r="B1077" t="s">
        <v>1009</v>
      </c>
      <c r="C1077">
        <v>68</v>
      </c>
      <c r="D1077" t="s">
        <v>239</v>
      </c>
    </row>
    <row r="1078" spans="1:4" x14ac:dyDescent="0.2">
      <c r="A1078">
        <v>68368</v>
      </c>
      <c r="B1078" t="s">
        <v>1010</v>
      </c>
      <c r="C1078">
        <v>68</v>
      </c>
      <c r="D1078" t="s">
        <v>239</v>
      </c>
    </row>
    <row r="1079" spans="1:4" x14ac:dyDescent="0.2">
      <c r="A1079">
        <v>68370</v>
      </c>
      <c r="B1079" t="s">
        <v>1011</v>
      </c>
      <c r="C1079">
        <v>68</v>
      </c>
      <c r="D1079" t="s">
        <v>239</v>
      </c>
    </row>
    <row r="1080" spans="1:4" x14ac:dyDescent="0.2">
      <c r="A1080">
        <v>68377</v>
      </c>
      <c r="B1080" t="s">
        <v>1012</v>
      </c>
      <c r="C1080">
        <v>68</v>
      </c>
      <c r="D1080" t="s">
        <v>239</v>
      </c>
    </row>
    <row r="1081" spans="1:4" x14ac:dyDescent="0.2">
      <c r="A1081">
        <v>68385</v>
      </c>
      <c r="B1081" t="s">
        <v>1013</v>
      </c>
      <c r="C1081">
        <v>68</v>
      </c>
      <c r="D1081" t="s">
        <v>239</v>
      </c>
    </row>
    <row r="1082" spans="1:4" x14ac:dyDescent="0.2">
      <c r="A1082">
        <v>68397</v>
      </c>
      <c r="B1082" t="s">
        <v>1014</v>
      </c>
      <c r="C1082">
        <v>68</v>
      </c>
      <c r="D1082" t="s">
        <v>239</v>
      </c>
    </row>
    <row r="1083" spans="1:4" x14ac:dyDescent="0.2">
      <c r="A1083">
        <v>68418</v>
      </c>
      <c r="B1083" t="s">
        <v>1015</v>
      </c>
      <c r="C1083">
        <v>68</v>
      </c>
      <c r="D1083" t="s">
        <v>239</v>
      </c>
    </row>
    <row r="1084" spans="1:4" x14ac:dyDescent="0.2">
      <c r="A1084">
        <v>68425</v>
      </c>
      <c r="B1084" t="s">
        <v>1016</v>
      </c>
      <c r="C1084">
        <v>68</v>
      </c>
      <c r="D1084" t="s">
        <v>239</v>
      </c>
    </row>
    <row r="1085" spans="1:4" x14ac:dyDescent="0.2">
      <c r="A1085">
        <v>68444</v>
      </c>
      <c r="B1085" t="s">
        <v>1017</v>
      </c>
      <c r="C1085">
        <v>68</v>
      </c>
      <c r="D1085" t="s">
        <v>239</v>
      </c>
    </row>
    <row r="1086" spans="1:4" x14ac:dyDescent="0.2">
      <c r="A1086">
        <v>68464</v>
      </c>
      <c r="B1086" t="s">
        <v>1018</v>
      </c>
      <c r="C1086">
        <v>68</v>
      </c>
      <c r="D1086" t="s">
        <v>239</v>
      </c>
    </row>
    <row r="1087" spans="1:4" x14ac:dyDescent="0.2">
      <c r="A1087">
        <v>68468</v>
      </c>
      <c r="B1087" t="s">
        <v>1019</v>
      </c>
      <c r="C1087">
        <v>68</v>
      </c>
      <c r="D1087" t="s">
        <v>239</v>
      </c>
    </row>
    <row r="1088" spans="1:4" x14ac:dyDescent="0.2">
      <c r="A1088">
        <v>68498</v>
      </c>
      <c r="B1088" t="s">
        <v>1020</v>
      </c>
      <c r="C1088">
        <v>68</v>
      </c>
      <c r="D1088" t="s">
        <v>239</v>
      </c>
    </row>
    <row r="1089" spans="1:4" x14ac:dyDescent="0.2">
      <c r="A1089">
        <v>68500</v>
      </c>
      <c r="B1089" t="s">
        <v>1021</v>
      </c>
      <c r="C1089">
        <v>68</v>
      </c>
      <c r="D1089" t="s">
        <v>239</v>
      </c>
    </row>
    <row r="1090" spans="1:4" x14ac:dyDescent="0.2">
      <c r="A1090">
        <v>68502</v>
      </c>
      <c r="B1090" t="s">
        <v>1022</v>
      </c>
      <c r="C1090">
        <v>68</v>
      </c>
      <c r="D1090" t="s">
        <v>239</v>
      </c>
    </row>
    <row r="1091" spans="1:4" x14ac:dyDescent="0.2">
      <c r="A1091">
        <v>68522</v>
      </c>
      <c r="B1091" t="s">
        <v>1023</v>
      </c>
      <c r="C1091">
        <v>68</v>
      </c>
      <c r="D1091" t="s">
        <v>239</v>
      </c>
    </row>
    <row r="1092" spans="1:4" x14ac:dyDescent="0.2">
      <c r="A1092">
        <v>68524</v>
      </c>
      <c r="B1092" t="s">
        <v>1024</v>
      </c>
      <c r="C1092">
        <v>68</v>
      </c>
      <c r="D1092" t="s">
        <v>239</v>
      </c>
    </row>
    <row r="1093" spans="1:4" x14ac:dyDescent="0.2">
      <c r="A1093">
        <v>68533</v>
      </c>
      <c r="B1093" t="s">
        <v>1025</v>
      </c>
      <c r="C1093">
        <v>68</v>
      </c>
      <c r="D1093" t="s">
        <v>239</v>
      </c>
    </row>
    <row r="1094" spans="1:4" x14ac:dyDescent="0.2">
      <c r="A1094">
        <v>68549</v>
      </c>
      <c r="B1094" t="s">
        <v>1026</v>
      </c>
      <c r="C1094">
        <v>68</v>
      </c>
      <c r="D1094" t="s">
        <v>239</v>
      </c>
    </row>
    <row r="1095" spans="1:4" x14ac:dyDescent="0.2">
      <c r="A1095">
        <v>68572</v>
      </c>
      <c r="B1095" t="s">
        <v>1027</v>
      </c>
      <c r="C1095">
        <v>68</v>
      </c>
      <c r="D1095" t="s">
        <v>239</v>
      </c>
    </row>
    <row r="1096" spans="1:4" x14ac:dyDescent="0.2">
      <c r="A1096">
        <v>68573</v>
      </c>
      <c r="B1096" t="s">
        <v>1028</v>
      </c>
      <c r="C1096">
        <v>68</v>
      </c>
      <c r="D1096" t="s">
        <v>239</v>
      </c>
    </row>
    <row r="1097" spans="1:4" x14ac:dyDescent="0.2">
      <c r="A1097">
        <v>68575</v>
      </c>
      <c r="B1097" t="s">
        <v>1029</v>
      </c>
      <c r="C1097">
        <v>68</v>
      </c>
      <c r="D1097" t="s">
        <v>239</v>
      </c>
    </row>
    <row r="1098" spans="1:4" x14ac:dyDescent="0.2">
      <c r="A1098">
        <v>68615</v>
      </c>
      <c r="B1098" t="s">
        <v>1030</v>
      </c>
      <c r="C1098">
        <v>68</v>
      </c>
      <c r="D1098" t="s">
        <v>239</v>
      </c>
    </row>
    <row r="1099" spans="1:4" x14ac:dyDescent="0.2">
      <c r="A1099">
        <v>68669</v>
      </c>
      <c r="B1099" t="s">
        <v>438</v>
      </c>
      <c r="C1099">
        <v>68</v>
      </c>
      <c r="D1099" t="s">
        <v>239</v>
      </c>
    </row>
    <row r="1100" spans="1:4" x14ac:dyDescent="0.2">
      <c r="A1100">
        <v>68673</v>
      </c>
      <c r="B1100" t="s">
        <v>1031</v>
      </c>
      <c r="C1100">
        <v>68</v>
      </c>
      <c r="D1100" t="s">
        <v>239</v>
      </c>
    </row>
    <row r="1101" spans="1:4" x14ac:dyDescent="0.2">
      <c r="A1101">
        <v>68682</v>
      </c>
      <c r="B1101" t="s">
        <v>1032</v>
      </c>
      <c r="C1101">
        <v>68</v>
      </c>
      <c r="D1101" t="s">
        <v>239</v>
      </c>
    </row>
    <row r="1102" spans="1:4" x14ac:dyDescent="0.2">
      <c r="A1102">
        <v>68684</v>
      </c>
      <c r="B1102" t="s">
        <v>1033</v>
      </c>
      <c r="C1102">
        <v>68</v>
      </c>
      <c r="D1102" t="s">
        <v>239</v>
      </c>
    </row>
    <row r="1103" spans="1:4" x14ac:dyDescent="0.2">
      <c r="A1103">
        <v>68686</v>
      </c>
      <c r="B1103" t="s">
        <v>1034</v>
      </c>
      <c r="C1103">
        <v>68</v>
      </c>
      <c r="D1103" t="s">
        <v>239</v>
      </c>
    </row>
    <row r="1104" spans="1:4" x14ac:dyDescent="0.2">
      <c r="A1104">
        <v>68705</v>
      </c>
      <c r="B1104" t="s">
        <v>450</v>
      </c>
      <c r="C1104">
        <v>68</v>
      </c>
      <c r="D1104" t="s">
        <v>239</v>
      </c>
    </row>
    <row r="1105" spans="1:4" x14ac:dyDescent="0.2">
      <c r="A1105">
        <v>68720</v>
      </c>
      <c r="B1105" t="s">
        <v>1035</v>
      </c>
      <c r="C1105">
        <v>68</v>
      </c>
      <c r="D1105" t="s">
        <v>239</v>
      </c>
    </row>
    <row r="1106" spans="1:4" x14ac:dyDescent="0.2">
      <c r="A1106">
        <v>68745</v>
      </c>
      <c r="B1106" t="s">
        <v>1036</v>
      </c>
      <c r="C1106">
        <v>68</v>
      </c>
      <c r="D1106" t="s">
        <v>239</v>
      </c>
    </row>
    <row r="1107" spans="1:4" x14ac:dyDescent="0.2">
      <c r="A1107">
        <v>68755</v>
      </c>
      <c r="B1107" t="s">
        <v>1037</v>
      </c>
      <c r="C1107">
        <v>68</v>
      </c>
      <c r="D1107" t="s">
        <v>239</v>
      </c>
    </row>
    <row r="1108" spans="1:4" x14ac:dyDescent="0.2">
      <c r="A1108">
        <v>68773</v>
      </c>
      <c r="B1108" t="s">
        <v>254</v>
      </c>
      <c r="C1108">
        <v>68</v>
      </c>
      <c r="D1108" t="s">
        <v>239</v>
      </c>
    </row>
    <row r="1109" spans="1:4" x14ac:dyDescent="0.2">
      <c r="A1109">
        <v>68780</v>
      </c>
      <c r="B1109" t="s">
        <v>1038</v>
      </c>
      <c r="C1109">
        <v>68</v>
      </c>
      <c r="D1109" t="s">
        <v>239</v>
      </c>
    </row>
    <row r="1110" spans="1:4" x14ac:dyDescent="0.2">
      <c r="A1110">
        <v>68820</v>
      </c>
      <c r="B1110" t="s">
        <v>1039</v>
      </c>
      <c r="C1110">
        <v>68</v>
      </c>
      <c r="D1110" t="s">
        <v>239</v>
      </c>
    </row>
    <row r="1111" spans="1:4" x14ac:dyDescent="0.2">
      <c r="A1111">
        <v>68855</v>
      </c>
      <c r="B1111" t="s">
        <v>1040</v>
      </c>
      <c r="C1111">
        <v>68</v>
      </c>
      <c r="D1111" t="s">
        <v>239</v>
      </c>
    </row>
    <row r="1112" spans="1:4" x14ac:dyDescent="0.2">
      <c r="A1112">
        <v>68867</v>
      </c>
      <c r="B1112" t="s">
        <v>1041</v>
      </c>
      <c r="C1112">
        <v>68</v>
      </c>
      <c r="D1112" t="s">
        <v>239</v>
      </c>
    </row>
    <row r="1113" spans="1:4" x14ac:dyDescent="0.2">
      <c r="A1113">
        <v>68872</v>
      </c>
      <c r="B1113" t="s">
        <v>1042</v>
      </c>
      <c r="C1113">
        <v>68</v>
      </c>
      <c r="D1113" t="s">
        <v>239</v>
      </c>
    </row>
    <row r="1114" spans="1:4" x14ac:dyDescent="0.2">
      <c r="A1114">
        <v>70110</v>
      </c>
      <c r="B1114" t="s">
        <v>523</v>
      </c>
      <c r="C1114">
        <v>70</v>
      </c>
      <c r="D1114" t="s">
        <v>254</v>
      </c>
    </row>
    <row r="1115" spans="1:4" x14ac:dyDescent="0.2">
      <c r="A1115">
        <v>70124</v>
      </c>
      <c r="B1115" t="s">
        <v>1043</v>
      </c>
      <c r="C1115">
        <v>70</v>
      </c>
      <c r="D1115" t="s">
        <v>254</v>
      </c>
    </row>
    <row r="1116" spans="1:4" x14ac:dyDescent="0.2">
      <c r="A1116">
        <v>70204</v>
      </c>
      <c r="B1116" t="s">
        <v>1044</v>
      </c>
      <c r="C1116">
        <v>70</v>
      </c>
      <c r="D1116" t="s">
        <v>254</v>
      </c>
    </row>
    <row r="1117" spans="1:4" x14ac:dyDescent="0.2">
      <c r="A1117">
        <v>70221</v>
      </c>
      <c r="B1117" t="s">
        <v>1045</v>
      </c>
      <c r="C1117">
        <v>70</v>
      </c>
      <c r="D1117" t="s">
        <v>254</v>
      </c>
    </row>
    <row r="1118" spans="1:4" x14ac:dyDescent="0.2">
      <c r="A1118">
        <v>70230</v>
      </c>
      <c r="B1118" t="s">
        <v>1046</v>
      </c>
      <c r="C1118">
        <v>70</v>
      </c>
      <c r="D1118" t="s">
        <v>254</v>
      </c>
    </row>
    <row r="1119" spans="1:4" x14ac:dyDescent="0.2">
      <c r="A1119">
        <v>70233</v>
      </c>
      <c r="B1119" t="s">
        <v>1047</v>
      </c>
      <c r="C1119">
        <v>70</v>
      </c>
      <c r="D1119" t="s">
        <v>254</v>
      </c>
    </row>
    <row r="1120" spans="1:4" x14ac:dyDescent="0.2">
      <c r="A1120">
        <v>70265</v>
      </c>
      <c r="B1120" t="s">
        <v>1048</v>
      </c>
      <c r="C1120">
        <v>70</v>
      </c>
      <c r="D1120" t="s">
        <v>254</v>
      </c>
    </row>
    <row r="1121" spans="1:4" x14ac:dyDescent="0.2">
      <c r="A1121">
        <v>70400</v>
      </c>
      <c r="B1121" t="s">
        <v>418</v>
      </c>
      <c r="C1121">
        <v>70</v>
      </c>
      <c r="D1121" t="s">
        <v>254</v>
      </c>
    </row>
    <row r="1122" spans="1:4" x14ac:dyDescent="0.2">
      <c r="A1122">
        <v>70429</v>
      </c>
      <c r="B1122" t="s">
        <v>1049</v>
      </c>
      <c r="C1122">
        <v>70</v>
      </c>
      <c r="D1122" t="s">
        <v>254</v>
      </c>
    </row>
    <row r="1123" spans="1:4" x14ac:dyDescent="0.2">
      <c r="A1123">
        <v>70473</v>
      </c>
      <c r="B1123" t="s">
        <v>1050</v>
      </c>
      <c r="C1123">
        <v>70</v>
      </c>
      <c r="D1123" t="s">
        <v>254</v>
      </c>
    </row>
    <row r="1124" spans="1:4" x14ac:dyDescent="0.2">
      <c r="A1124">
        <v>70523</v>
      </c>
      <c r="B1124" t="s">
        <v>1051</v>
      </c>
      <c r="C1124">
        <v>70</v>
      </c>
      <c r="D1124" t="s">
        <v>254</v>
      </c>
    </row>
    <row r="1125" spans="1:4" x14ac:dyDescent="0.2">
      <c r="A1125">
        <v>70678</v>
      </c>
      <c r="B1125" t="s">
        <v>1052</v>
      </c>
      <c r="C1125">
        <v>70</v>
      </c>
      <c r="D1125" t="s">
        <v>254</v>
      </c>
    </row>
    <row r="1126" spans="1:4" x14ac:dyDescent="0.2">
      <c r="A1126">
        <v>70702</v>
      </c>
      <c r="B1126" t="s">
        <v>1053</v>
      </c>
      <c r="C1126">
        <v>70</v>
      </c>
      <c r="D1126" t="s">
        <v>254</v>
      </c>
    </row>
    <row r="1127" spans="1:4" x14ac:dyDescent="0.2">
      <c r="A1127">
        <v>70717</v>
      </c>
      <c r="B1127" t="s">
        <v>445</v>
      </c>
      <c r="C1127">
        <v>70</v>
      </c>
      <c r="D1127" t="s">
        <v>254</v>
      </c>
    </row>
    <row r="1128" spans="1:4" x14ac:dyDescent="0.2">
      <c r="A1128">
        <v>70771</v>
      </c>
      <c r="B1128" t="s">
        <v>254</v>
      </c>
      <c r="C1128">
        <v>70</v>
      </c>
      <c r="D1128" t="s">
        <v>254</v>
      </c>
    </row>
    <row r="1129" spans="1:4" x14ac:dyDescent="0.2">
      <c r="A1129">
        <v>70823</v>
      </c>
      <c r="B1129" t="s">
        <v>1054</v>
      </c>
      <c r="C1129">
        <v>70</v>
      </c>
      <c r="D1129" t="s">
        <v>254</v>
      </c>
    </row>
    <row r="1130" spans="1:4" x14ac:dyDescent="0.2">
      <c r="A1130">
        <v>73024</v>
      </c>
      <c r="B1130" t="s">
        <v>1055</v>
      </c>
      <c r="C1130">
        <v>73</v>
      </c>
      <c r="D1130" t="s">
        <v>265</v>
      </c>
    </row>
    <row r="1131" spans="1:4" x14ac:dyDescent="0.2">
      <c r="A1131">
        <v>73030</v>
      </c>
      <c r="B1131" t="s">
        <v>1056</v>
      </c>
      <c r="C1131">
        <v>73</v>
      </c>
      <c r="D1131" t="s">
        <v>265</v>
      </c>
    </row>
    <row r="1132" spans="1:4" x14ac:dyDescent="0.2">
      <c r="A1132">
        <v>73148</v>
      </c>
      <c r="B1132" t="s">
        <v>1057</v>
      </c>
      <c r="C1132">
        <v>73</v>
      </c>
      <c r="D1132" t="s">
        <v>265</v>
      </c>
    </row>
    <row r="1133" spans="1:4" x14ac:dyDescent="0.2">
      <c r="A1133">
        <v>73152</v>
      </c>
      <c r="B1133" t="s">
        <v>1058</v>
      </c>
      <c r="C1133">
        <v>73</v>
      </c>
      <c r="D1133" t="s">
        <v>265</v>
      </c>
    </row>
    <row r="1134" spans="1:4" x14ac:dyDescent="0.2">
      <c r="A1134">
        <v>73200</v>
      </c>
      <c r="B1134" t="s">
        <v>1059</v>
      </c>
      <c r="C1134">
        <v>73</v>
      </c>
      <c r="D1134" t="s">
        <v>265</v>
      </c>
    </row>
    <row r="1135" spans="1:4" x14ac:dyDescent="0.2">
      <c r="A1135">
        <v>73217</v>
      </c>
      <c r="B1135" t="s">
        <v>1060</v>
      </c>
      <c r="C1135">
        <v>73</v>
      </c>
      <c r="D1135" t="s">
        <v>265</v>
      </c>
    </row>
    <row r="1136" spans="1:4" x14ac:dyDescent="0.2">
      <c r="A1136">
        <v>73226</v>
      </c>
      <c r="B1136" t="s">
        <v>1061</v>
      </c>
      <c r="C1136">
        <v>73</v>
      </c>
      <c r="D1136" t="s">
        <v>265</v>
      </c>
    </row>
    <row r="1137" spans="1:4" x14ac:dyDescent="0.2">
      <c r="A1137">
        <v>73270</v>
      </c>
      <c r="B1137" t="s">
        <v>1062</v>
      </c>
      <c r="C1137">
        <v>73</v>
      </c>
      <c r="D1137" t="s">
        <v>265</v>
      </c>
    </row>
    <row r="1138" spans="1:4" x14ac:dyDescent="0.2">
      <c r="A1138">
        <v>73275</v>
      </c>
      <c r="B1138" t="s">
        <v>1063</v>
      </c>
      <c r="C1138">
        <v>73</v>
      </c>
      <c r="D1138" t="s">
        <v>265</v>
      </c>
    </row>
    <row r="1139" spans="1:4" x14ac:dyDescent="0.2">
      <c r="A1139">
        <v>73347</v>
      </c>
      <c r="B1139" t="s">
        <v>1064</v>
      </c>
      <c r="C1139">
        <v>73</v>
      </c>
      <c r="D1139" t="s">
        <v>265</v>
      </c>
    </row>
    <row r="1140" spans="1:4" x14ac:dyDescent="0.2">
      <c r="A1140">
        <v>73349</v>
      </c>
      <c r="B1140" t="s">
        <v>1065</v>
      </c>
      <c r="C1140">
        <v>73</v>
      </c>
      <c r="D1140" t="s">
        <v>265</v>
      </c>
    </row>
    <row r="1141" spans="1:4" x14ac:dyDescent="0.2">
      <c r="A1141">
        <v>73352</v>
      </c>
      <c r="B1141" t="s">
        <v>1066</v>
      </c>
      <c r="C1141">
        <v>73</v>
      </c>
      <c r="D1141" t="s">
        <v>265</v>
      </c>
    </row>
    <row r="1142" spans="1:4" x14ac:dyDescent="0.2">
      <c r="A1142">
        <v>73411</v>
      </c>
      <c r="B1142" t="s">
        <v>1067</v>
      </c>
      <c r="C1142">
        <v>73</v>
      </c>
      <c r="D1142" t="s">
        <v>265</v>
      </c>
    </row>
    <row r="1143" spans="1:4" x14ac:dyDescent="0.2">
      <c r="A1143">
        <v>73449</v>
      </c>
      <c r="B1143" t="s">
        <v>1068</v>
      </c>
      <c r="C1143">
        <v>73</v>
      </c>
      <c r="D1143" t="s">
        <v>265</v>
      </c>
    </row>
    <row r="1144" spans="1:4" x14ac:dyDescent="0.2">
      <c r="A1144">
        <v>73461</v>
      </c>
      <c r="B1144" t="s">
        <v>1069</v>
      </c>
      <c r="C1144">
        <v>73</v>
      </c>
      <c r="D1144" t="s">
        <v>265</v>
      </c>
    </row>
    <row r="1145" spans="1:4" x14ac:dyDescent="0.2">
      <c r="A1145">
        <v>73483</v>
      </c>
      <c r="B1145" t="s">
        <v>1070</v>
      </c>
      <c r="C1145">
        <v>73</v>
      </c>
      <c r="D1145" t="s">
        <v>265</v>
      </c>
    </row>
    <row r="1146" spans="1:4" x14ac:dyDescent="0.2">
      <c r="A1146">
        <v>73504</v>
      </c>
      <c r="B1146" t="s">
        <v>1071</v>
      </c>
      <c r="C1146">
        <v>73</v>
      </c>
      <c r="D1146" t="s">
        <v>265</v>
      </c>
    </row>
    <row r="1147" spans="1:4" x14ac:dyDescent="0.2">
      <c r="A1147">
        <v>73520</v>
      </c>
      <c r="B1147" t="s">
        <v>1072</v>
      </c>
      <c r="C1147">
        <v>73</v>
      </c>
      <c r="D1147" t="s">
        <v>265</v>
      </c>
    </row>
    <row r="1148" spans="1:4" x14ac:dyDescent="0.2">
      <c r="A1148">
        <v>73547</v>
      </c>
      <c r="B1148" t="s">
        <v>1073</v>
      </c>
      <c r="C1148">
        <v>73</v>
      </c>
      <c r="D1148" t="s">
        <v>265</v>
      </c>
    </row>
    <row r="1149" spans="1:4" x14ac:dyDescent="0.2">
      <c r="A1149">
        <v>73555</v>
      </c>
      <c r="B1149" t="s">
        <v>1074</v>
      </c>
      <c r="C1149">
        <v>73</v>
      </c>
      <c r="D1149" t="s">
        <v>265</v>
      </c>
    </row>
    <row r="1150" spans="1:4" x14ac:dyDescent="0.2">
      <c r="A1150">
        <v>73563</v>
      </c>
      <c r="B1150" t="s">
        <v>1075</v>
      </c>
      <c r="C1150">
        <v>73</v>
      </c>
      <c r="D1150" t="s">
        <v>265</v>
      </c>
    </row>
    <row r="1151" spans="1:4" x14ac:dyDescent="0.2">
      <c r="A1151">
        <v>73616</v>
      </c>
      <c r="B1151" t="s">
        <v>1076</v>
      </c>
      <c r="C1151">
        <v>73</v>
      </c>
      <c r="D1151" t="s">
        <v>265</v>
      </c>
    </row>
    <row r="1152" spans="1:4" x14ac:dyDescent="0.2">
      <c r="A1152">
        <v>73622</v>
      </c>
      <c r="B1152" t="s">
        <v>1077</v>
      </c>
      <c r="C1152">
        <v>73</v>
      </c>
      <c r="D1152" t="s">
        <v>265</v>
      </c>
    </row>
    <row r="1153" spans="1:4" x14ac:dyDescent="0.2">
      <c r="A1153">
        <v>73624</v>
      </c>
      <c r="B1153" t="s">
        <v>1078</v>
      </c>
      <c r="C1153">
        <v>73</v>
      </c>
      <c r="D1153" t="s">
        <v>265</v>
      </c>
    </row>
    <row r="1154" spans="1:4" x14ac:dyDescent="0.2">
      <c r="A1154">
        <v>73671</v>
      </c>
      <c r="B1154" t="s">
        <v>1079</v>
      </c>
      <c r="C1154">
        <v>73</v>
      </c>
      <c r="D1154" t="s">
        <v>265</v>
      </c>
    </row>
    <row r="1155" spans="1:4" x14ac:dyDescent="0.2">
      <c r="A1155">
        <v>73675</v>
      </c>
      <c r="B1155" t="s">
        <v>1080</v>
      </c>
      <c r="C1155">
        <v>73</v>
      </c>
      <c r="D1155" t="s">
        <v>265</v>
      </c>
    </row>
    <row r="1156" spans="1:4" x14ac:dyDescent="0.2">
      <c r="A1156">
        <v>73678</v>
      </c>
      <c r="B1156" t="s">
        <v>444</v>
      </c>
      <c r="C1156">
        <v>73</v>
      </c>
      <c r="D1156" t="s">
        <v>265</v>
      </c>
    </row>
    <row r="1157" spans="1:4" x14ac:dyDescent="0.2">
      <c r="A1157">
        <v>73686</v>
      </c>
      <c r="B1157" t="s">
        <v>1081</v>
      </c>
      <c r="C1157">
        <v>73</v>
      </c>
      <c r="D1157" t="s">
        <v>265</v>
      </c>
    </row>
    <row r="1158" spans="1:4" x14ac:dyDescent="0.2">
      <c r="A1158">
        <v>73770</v>
      </c>
      <c r="B1158" t="s">
        <v>676</v>
      </c>
      <c r="C1158">
        <v>73</v>
      </c>
      <c r="D1158" t="s">
        <v>265</v>
      </c>
    </row>
    <row r="1159" spans="1:4" x14ac:dyDescent="0.2">
      <c r="A1159">
        <v>73854</v>
      </c>
      <c r="B1159" t="s">
        <v>1082</v>
      </c>
      <c r="C1159">
        <v>73</v>
      </c>
      <c r="D1159" t="s">
        <v>265</v>
      </c>
    </row>
    <row r="1160" spans="1:4" x14ac:dyDescent="0.2">
      <c r="A1160">
        <v>73861</v>
      </c>
      <c r="B1160" t="s">
        <v>1083</v>
      </c>
      <c r="C1160">
        <v>73</v>
      </c>
      <c r="D1160" t="s">
        <v>265</v>
      </c>
    </row>
    <row r="1161" spans="1:4" x14ac:dyDescent="0.2">
      <c r="A1161">
        <v>73870</v>
      </c>
      <c r="B1161" t="s">
        <v>1084</v>
      </c>
      <c r="C1161">
        <v>73</v>
      </c>
      <c r="D1161" t="s">
        <v>265</v>
      </c>
    </row>
    <row r="1162" spans="1:4" x14ac:dyDescent="0.2">
      <c r="A1162">
        <v>73873</v>
      </c>
      <c r="B1162" t="s">
        <v>1085</v>
      </c>
      <c r="C1162">
        <v>73</v>
      </c>
      <c r="D1162" t="s">
        <v>265</v>
      </c>
    </row>
    <row r="1163" spans="1:4" x14ac:dyDescent="0.2">
      <c r="A1163">
        <v>76041</v>
      </c>
      <c r="B1163" t="s">
        <v>1086</v>
      </c>
      <c r="C1163">
        <v>76</v>
      </c>
      <c r="D1163" t="s">
        <v>280</v>
      </c>
    </row>
    <row r="1164" spans="1:4" x14ac:dyDescent="0.2">
      <c r="A1164">
        <v>76054</v>
      </c>
      <c r="B1164" t="s">
        <v>384</v>
      </c>
      <c r="C1164">
        <v>76</v>
      </c>
      <c r="D1164" t="s">
        <v>280</v>
      </c>
    </row>
    <row r="1165" spans="1:4" x14ac:dyDescent="0.2">
      <c r="A1165">
        <v>76100</v>
      </c>
      <c r="B1165" t="s">
        <v>50</v>
      </c>
      <c r="C1165">
        <v>76</v>
      </c>
      <c r="D1165" t="s">
        <v>280</v>
      </c>
    </row>
    <row r="1166" spans="1:4" x14ac:dyDescent="0.2">
      <c r="A1166">
        <v>76113</v>
      </c>
      <c r="B1166" t="s">
        <v>1087</v>
      </c>
      <c r="C1166">
        <v>76</v>
      </c>
      <c r="D1166" t="s">
        <v>280</v>
      </c>
    </row>
    <row r="1167" spans="1:4" x14ac:dyDescent="0.2">
      <c r="A1167">
        <v>76243</v>
      </c>
      <c r="B1167" t="s">
        <v>1088</v>
      </c>
      <c r="C1167">
        <v>76</v>
      </c>
      <c r="D1167" t="s">
        <v>280</v>
      </c>
    </row>
    <row r="1168" spans="1:4" x14ac:dyDescent="0.2">
      <c r="A1168">
        <v>76246</v>
      </c>
      <c r="B1168" t="s">
        <v>1089</v>
      </c>
      <c r="C1168">
        <v>76</v>
      </c>
      <c r="D1168" t="s">
        <v>280</v>
      </c>
    </row>
    <row r="1169" spans="1:4" x14ac:dyDescent="0.2">
      <c r="A1169">
        <v>76248</v>
      </c>
      <c r="B1169" t="s">
        <v>1090</v>
      </c>
      <c r="C1169">
        <v>76</v>
      </c>
      <c r="D1169" t="s">
        <v>280</v>
      </c>
    </row>
    <row r="1170" spans="1:4" x14ac:dyDescent="0.2">
      <c r="A1170">
        <v>76275</v>
      </c>
      <c r="B1170" t="s">
        <v>1091</v>
      </c>
      <c r="C1170">
        <v>76</v>
      </c>
      <c r="D1170" t="s">
        <v>280</v>
      </c>
    </row>
    <row r="1171" spans="1:4" x14ac:dyDescent="0.2">
      <c r="A1171">
        <v>76306</v>
      </c>
      <c r="B1171" t="s">
        <v>1092</v>
      </c>
      <c r="C1171">
        <v>76</v>
      </c>
      <c r="D1171" t="s">
        <v>280</v>
      </c>
    </row>
    <row r="1172" spans="1:4" x14ac:dyDescent="0.2">
      <c r="A1172">
        <v>76377</v>
      </c>
      <c r="B1172" t="s">
        <v>1093</v>
      </c>
      <c r="C1172">
        <v>76</v>
      </c>
      <c r="D1172" t="s">
        <v>280</v>
      </c>
    </row>
    <row r="1173" spans="1:4" x14ac:dyDescent="0.2">
      <c r="A1173">
        <v>76400</v>
      </c>
      <c r="B1173" t="s">
        <v>418</v>
      </c>
      <c r="C1173">
        <v>76</v>
      </c>
      <c r="D1173" t="s">
        <v>280</v>
      </c>
    </row>
    <row r="1174" spans="1:4" x14ac:dyDescent="0.2">
      <c r="A1174">
        <v>76497</v>
      </c>
      <c r="B1174" t="s">
        <v>1094</v>
      </c>
      <c r="C1174">
        <v>76</v>
      </c>
      <c r="D1174" t="s">
        <v>280</v>
      </c>
    </row>
    <row r="1175" spans="1:4" x14ac:dyDescent="0.2">
      <c r="A1175">
        <v>76563</v>
      </c>
      <c r="B1175" t="s">
        <v>1095</v>
      </c>
      <c r="C1175">
        <v>76</v>
      </c>
      <c r="D1175" t="s">
        <v>280</v>
      </c>
    </row>
    <row r="1176" spans="1:4" x14ac:dyDescent="0.2">
      <c r="A1176">
        <v>76606</v>
      </c>
      <c r="B1176" t="s">
        <v>1096</v>
      </c>
      <c r="C1176">
        <v>76</v>
      </c>
      <c r="D1176" t="s">
        <v>280</v>
      </c>
    </row>
    <row r="1177" spans="1:4" x14ac:dyDescent="0.2">
      <c r="A1177">
        <v>76616</v>
      </c>
      <c r="B1177" t="s">
        <v>1097</v>
      </c>
      <c r="C1177">
        <v>76</v>
      </c>
      <c r="D1177" t="s">
        <v>280</v>
      </c>
    </row>
    <row r="1178" spans="1:4" x14ac:dyDescent="0.2">
      <c r="A1178">
        <v>76622</v>
      </c>
      <c r="B1178" t="s">
        <v>1098</v>
      </c>
      <c r="C1178">
        <v>76</v>
      </c>
      <c r="D1178" t="s">
        <v>280</v>
      </c>
    </row>
    <row r="1179" spans="1:4" x14ac:dyDescent="0.2">
      <c r="A1179">
        <v>76670</v>
      </c>
      <c r="B1179" t="s">
        <v>445</v>
      </c>
      <c r="C1179">
        <v>76</v>
      </c>
      <c r="D1179" t="s">
        <v>280</v>
      </c>
    </row>
    <row r="1180" spans="1:4" x14ac:dyDescent="0.2">
      <c r="A1180">
        <v>76823</v>
      </c>
      <c r="B1180" t="s">
        <v>1099</v>
      </c>
      <c r="C1180">
        <v>76</v>
      </c>
      <c r="D1180" t="s">
        <v>280</v>
      </c>
    </row>
    <row r="1181" spans="1:4" x14ac:dyDescent="0.2">
      <c r="A1181">
        <v>76828</v>
      </c>
      <c r="B1181" t="s">
        <v>1100</v>
      </c>
      <c r="C1181">
        <v>76</v>
      </c>
      <c r="D1181" t="s">
        <v>280</v>
      </c>
    </row>
    <row r="1182" spans="1:4" x14ac:dyDescent="0.2">
      <c r="A1182">
        <v>76845</v>
      </c>
      <c r="B1182" t="s">
        <v>1101</v>
      </c>
      <c r="C1182">
        <v>76</v>
      </c>
      <c r="D1182" t="s">
        <v>280</v>
      </c>
    </row>
    <row r="1183" spans="1:4" x14ac:dyDescent="0.2">
      <c r="A1183">
        <v>76863</v>
      </c>
      <c r="B1183" t="s">
        <v>1102</v>
      </c>
      <c r="C1183">
        <v>76</v>
      </c>
      <c r="D1183" t="s">
        <v>280</v>
      </c>
    </row>
    <row r="1184" spans="1:4" x14ac:dyDescent="0.2">
      <c r="A1184">
        <v>76869</v>
      </c>
      <c r="B1184" t="s">
        <v>1103</v>
      </c>
      <c r="C1184">
        <v>76</v>
      </c>
      <c r="D1184" t="s">
        <v>280</v>
      </c>
    </row>
    <row r="1185" spans="1:4" x14ac:dyDescent="0.2">
      <c r="A1185">
        <v>76890</v>
      </c>
      <c r="B1185" t="s">
        <v>1104</v>
      </c>
      <c r="C1185">
        <v>76</v>
      </c>
      <c r="D1185" t="s">
        <v>280</v>
      </c>
    </row>
    <row r="1186" spans="1:4" x14ac:dyDescent="0.2">
      <c r="A1186">
        <v>76895</v>
      </c>
      <c r="B1186" t="s">
        <v>1105</v>
      </c>
      <c r="C1186">
        <v>76</v>
      </c>
      <c r="D1186" t="s">
        <v>280</v>
      </c>
    </row>
    <row r="1187" spans="1:4" x14ac:dyDescent="0.2">
      <c r="A1187">
        <v>81065</v>
      </c>
      <c r="B1187" t="s">
        <v>1106</v>
      </c>
      <c r="C1187">
        <v>81</v>
      </c>
      <c r="D1187" t="s">
        <v>299</v>
      </c>
    </row>
    <row r="1188" spans="1:4" x14ac:dyDescent="0.2">
      <c r="A1188">
        <v>81220</v>
      </c>
      <c r="B1188" t="s">
        <v>1107</v>
      </c>
      <c r="C1188">
        <v>81</v>
      </c>
      <c r="D1188" t="s">
        <v>299</v>
      </c>
    </row>
    <row r="1189" spans="1:4" x14ac:dyDescent="0.2">
      <c r="A1189">
        <v>81300</v>
      </c>
      <c r="B1189" t="s">
        <v>1108</v>
      </c>
      <c r="C1189">
        <v>81</v>
      </c>
      <c r="D1189" t="s">
        <v>299</v>
      </c>
    </row>
    <row r="1190" spans="1:4" x14ac:dyDescent="0.2">
      <c r="A1190">
        <v>81736</v>
      </c>
      <c r="B1190" t="s">
        <v>1109</v>
      </c>
      <c r="C1190">
        <v>81</v>
      </c>
      <c r="D1190" t="s">
        <v>299</v>
      </c>
    </row>
    <row r="1191" spans="1:4" x14ac:dyDescent="0.2">
      <c r="A1191">
        <v>85015</v>
      </c>
      <c r="B1191" t="s">
        <v>1110</v>
      </c>
      <c r="C1191">
        <v>85</v>
      </c>
      <c r="D1191" t="s">
        <v>303</v>
      </c>
    </row>
    <row r="1192" spans="1:4" x14ac:dyDescent="0.2">
      <c r="A1192">
        <v>85125</v>
      </c>
      <c r="B1192" t="s">
        <v>1111</v>
      </c>
      <c r="C1192">
        <v>85</v>
      </c>
      <c r="D1192" t="s">
        <v>303</v>
      </c>
    </row>
    <row r="1193" spans="1:4" x14ac:dyDescent="0.2">
      <c r="A1193">
        <v>85136</v>
      </c>
      <c r="B1193" t="s">
        <v>1112</v>
      </c>
      <c r="C1193">
        <v>85</v>
      </c>
      <c r="D1193" t="s">
        <v>303</v>
      </c>
    </row>
    <row r="1194" spans="1:4" x14ac:dyDescent="0.2">
      <c r="A1194">
        <v>85139</v>
      </c>
      <c r="B1194" t="s">
        <v>1113</v>
      </c>
      <c r="C1194">
        <v>85</v>
      </c>
      <c r="D1194" t="s">
        <v>303</v>
      </c>
    </row>
    <row r="1195" spans="1:4" x14ac:dyDescent="0.2">
      <c r="A1195">
        <v>85162</v>
      </c>
      <c r="B1195" t="s">
        <v>1114</v>
      </c>
      <c r="C1195">
        <v>85</v>
      </c>
      <c r="D1195" t="s">
        <v>303</v>
      </c>
    </row>
    <row r="1196" spans="1:4" x14ac:dyDescent="0.2">
      <c r="A1196">
        <v>85225</v>
      </c>
      <c r="B1196" t="s">
        <v>1115</v>
      </c>
      <c r="C1196">
        <v>85</v>
      </c>
      <c r="D1196" t="s">
        <v>303</v>
      </c>
    </row>
    <row r="1197" spans="1:4" x14ac:dyDescent="0.2">
      <c r="A1197">
        <v>85230</v>
      </c>
      <c r="B1197" t="s">
        <v>1116</v>
      </c>
      <c r="C1197">
        <v>85</v>
      </c>
      <c r="D1197" t="s">
        <v>303</v>
      </c>
    </row>
    <row r="1198" spans="1:4" x14ac:dyDescent="0.2">
      <c r="A1198">
        <v>85250</v>
      </c>
      <c r="B1198" t="s">
        <v>1117</v>
      </c>
      <c r="C1198">
        <v>85</v>
      </c>
      <c r="D1198" t="s">
        <v>303</v>
      </c>
    </row>
    <row r="1199" spans="1:4" x14ac:dyDescent="0.2">
      <c r="A1199">
        <v>85263</v>
      </c>
      <c r="B1199" t="s">
        <v>1118</v>
      </c>
      <c r="C1199">
        <v>85</v>
      </c>
      <c r="D1199" t="s">
        <v>303</v>
      </c>
    </row>
    <row r="1200" spans="1:4" x14ac:dyDescent="0.2">
      <c r="A1200">
        <v>85279</v>
      </c>
      <c r="B1200" t="s">
        <v>1119</v>
      </c>
      <c r="C1200">
        <v>85</v>
      </c>
      <c r="D1200" t="s">
        <v>303</v>
      </c>
    </row>
    <row r="1201" spans="1:4" x14ac:dyDescent="0.2">
      <c r="A1201">
        <v>85300</v>
      </c>
      <c r="B1201" t="s">
        <v>435</v>
      </c>
      <c r="C1201">
        <v>85</v>
      </c>
      <c r="D1201" t="s">
        <v>303</v>
      </c>
    </row>
    <row r="1202" spans="1:4" x14ac:dyDescent="0.2">
      <c r="A1202">
        <v>85315</v>
      </c>
      <c r="B1202" t="s">
        <v>1120</v>
      </c>
      <c r="C1202">
        <v>85</v>
      </c>
      <c r="D1202" t="s">
        <v>303</v>
      </c>
    </row>
    <row r="1203" spans="1:4" x14ac:dyDescent="0.2">
      <c r="A1203">
        <v>85325</v>
      </c>
      <c r="B1203" t="s">
        <v>1121</v>
      </c>
      <c r="C1203">
        <v>85</v>
      </c>
      <c r="D1203" t="s">
        <v>303</v>
      </c>
    </row>
    <row r="1204" spans="1:4" x14ac:dyDescent="0.2">
      <c r="A1204">
        <v>85400</v>
      </c>
      <c r="B1204" t="s">
        <v>1122</v>
      </c>
      <c r="C1204">
        <v>85</v>
      </c>
      <c r="D1204" t="s">
        <v>303</v>
      </c>
    </row>
    <row r="1205" spans="1:4" x14ac:dyDescent="0.2">
      <c r="A1205">
        <v>85410</v>
      </c>
      <c r="B1205" t="s">
        <v>1123</v>
      </c>
      <c r="C1205">
        <v>85</v>
      </c>
      <c r="D1205" t="s">
        <v>303</v>
      </c>
    </row>
    <row r="1206" spans="1:4" x14ac:dyDescent="0.2">
      <c r="A1206">
        <v>85430</v>
      </c>
      <c r="B1206" t="s">
        <v>1124</v>
      </c>
      <c r="C1206">
        <v>85</v>
      </c>
      <c r="D1206" t="s">
        <v>303</v>
      </c>
    </row>
    <row r="1207" spans="1:4" x14ac:dyDescent="0.2">
      <c r="A1207">
        <v>86219</v>
      </c>
      <c r="B1207" t="s">
        <v>1125</v>
      </c>
      <c r="C1207">
        <v>86</v>
      </c>
      <c r="D1207" t="s">
        <v>307</v>
      </c>
    </row>
    <row r="1208" spans="1:4" x14ac:dyDescent="0.2">
      <c r="A1208">
        <v>86320</v>
      </c>
      <c r="B1208" t="s">
        <v>1126</v>
      </c>
      <c r="C1208">
        <v>86</v>
      </c>
      <c r="D1208" t="s">
        <v>307</v>
      </c>
    </row>
    <row r="1209" spans="1:4" x14ac:dyDescent="0.2">
      <c r="A1209">
        <v>86568</v>
      </c>
      <c r="B1209" t="s">
        <v>1127</v>
      </c>
      <c r="C1209">
        <v>86</v>
      </c>
      <c r="D1209" t="s">
        <v>307</v>
      </c>
    </row>
    <row r="1210" spans="1:4" x14ac:dyDescent="0.2">
      <c r="A1210">
        <v>86569</v>
      </c>
      <c r="B1210" t="s">
        <v>1128</v>
      </c>
      <c r="C1210">
        <v>86</v>
      </c>
      <c r="D1210" t="s">
        <v>307</v>
      </c>
    </row>
    <row r="1211" spans="1:4" x14ac:dyDescent="0.2">
      <c r="A1211">
        <v>86571</v>
      </c>
      <c r="B1211" t="s">
        <v>1129</v>
      </c>
      <c r="C1211">
        <v>86</v>
      </c>
      <c r="D1211" t="s">
        <v>307</v>
      </c>
    </row>
    <row r="1212" spans="1:4" x14ac:dyDescent="0.2">
      <c r="A1212">
        <v>86573</v>
      </c>
      <c r="B1212" t="s">
        <v>1130</v>
      </c>
      <c r="C1212">
        <v>86</v>
      </c>
      <c r="D1212" t="s">
        <v>307</v>
      </c>
    </row>
    <row r="1213" spans="1:4" x14ac:dyDescent="0.2">
      <c r="A1213">
        <v>86755</v>
      </c>
      <c r="B1213" t="s">
        <v>440</v>
      </c>
      <c r="C1213">
        <v>86</v>
      </c>
      <c r="D1213" t="s">
        <v>307</v>
      </c>
    </row>
    <row r="1214" spans="1:4" x14ac:dyDescent="0.2">
      <c r="A1214">
        <v>86757</v>
      </c>
      <c r="B1214" t="s">
        <v>1034</v>
      </c>
      <c r="C1214">
        <v>86</v>
      </c>
      <c r="D1214" t="s">
        <v>307</v>
      </c>
    </row>
    <row r="1215" spans="1:4" x14ac:dyDescent="0.2">
      <c r="A1215">
        <v>86865</v>
      </c>
      <c r="B1215" t="s">
        <v>1131</v>
      </c>
      <c r="C1215">
        <v>86</v>
      </c>
      <c r="D1215" t="s">
        <v>307</v>
      </c>
    </row>
    <row r="1216" spans="1:4" x14ac:dyDescent="0.2">
      <c r="A1216">
        <v>88564</v>
      </c>
      <c r="B1216" t="s">
        <v>938</v>
      </c>
      <c r="C1216">
        <v>88</v>
      </c>
      <c r="D1216" t="s">
        <v>312</v>
      </c>
    </row>
    <row r="1217" spans="1:4" x14ac:dyDescent="0.2">
      <c r="A1217">
        <v>91263</v>
      </c>
      <c r="B1217" t="s">
        <v>1132</v>
      </c>
      <c r="C1217">
        <v>91</v>
      </c>
      <c r="D1217" t="s">
        <v>314</v>
      </c>
    </row>
    <row r="1218" spans="1:4" x14ac:dyDescent="0.2">
      <c r="A1218">
        <v>91405</v>
      </c>
      <c r="B1218" t="s">
        <v>1133</v>
      </c>
      <c r="C1218">
        <v>91</v>
      </c>
      <c r="D1218" t="s">
        <v>314</v>
      </c>
    </row>
    <row r="1219" spans="1:4" x14ac:dyDescent="0.2">
      <c r="A1219">
        <v>91407</v>
      </c>
      <c r="B1219" t="s">
        <v>1134</v>
      </c>
      <c r="C1219">
        <v>91</v>
      </c>
      <c r="D1219" t="s">
        <v>314</v>
      </c>
    </row>
    <row r="1220" spans="1:4" x14ac:dyDescent="0.2">
      <c r="A1220">
        <v>91460</v>
      </c>
      <c r="B1220" t="s">
        <v>1135</v>
      </c>
      <c r="C1220">
        <v>91</v>
      </c>
      <c r="D1220" t="s">
        <v>314</v>
      </c>
    </row>
    <row r="1221" spans="1:4" x14ac:dyDescent="0.2">
      <c r="A1221">
        <v>91540</v>
      </c>
      <c r="B1221" t="s">
        <v>1136</v>
      </c>
      <c r="C1221">
        <v>91</v>
      </c>
      <c r="D1221" t="s">
        <v>314</v>
      </c>
    </row>
    <row r="1222" spans="1:4" x14ac:dyDescent="0.2">
      <c r="A1222">
        <v>91669</v>
      </c>
      <c r="B1222" t="s">
        <v>969</v>
      </c>
      <c r="C1222">
        <v>91</v>
      </c>
      <c r="D1222" t="s">
        <v>314</v>
      </c>
    </row>
    <row r="1223" spans="1:4" x14ac:dyDescent="0.2">
      <c r="A1223">
        <v>91798</v>
      </c>
      <c r="B1223" t="s">
        <v>1137</v>
      </c>
      <c r="C1223">
        <v>91</v>
      </c>
      <c r="D1223" t="s">
        <v>314</v>
      </c>
    </row>
    <row r="1224" spans="1:4" x14ac:dyDescent="0.2">
      <c r="A1224">
        <v>95015</v>
      </c>
      <c r="B1224" t="s">
        <v>1138</v>
      </c>
      <c r="C1224">
        <v>95</v>
      </c>
      <c r="D1224" t="s">
        <v>316</v>
      </c>
    </row>
    <row r="1225" spans="1:4" x14ac:dyDescent="0.2">
      <c r="A1225">
        <v>95025</v>
      </c>
      <c r="B1225" t="s">
        <v>1139</v>
      </c>
      <c r="C1225">
        <v>95</v>
      </c>
      <c r="D1225" t="s">
        <v>316</v>
      </c>
    </row>
    <row r="1226" spans="1:4" x14ac:dyDescent="0.2">
      <c r="A1226">
        <v>95200</v>
      </c>
      <c r="B1226" t="s">
        <v>559</v>
      </c>
      <c r="C1226">
        <v>95</v>
      </c>
      <c r="D1226" t="s">
        <v>316</v>
      </c>
    </row>
    <row r="1227" spans="1:4" x14ac:dyDescent="0.2">
      <c r="A1227">
        <v>99524</v>
      </c>
      <c r="B1227" t="s">
        <v>1140</v>
      </c>
      <c r="C1227">
        <v>99</v>
      </c>
      <c r="D1227" t="s">
        <v>318</v>
      </c>
    </row>
    <row r="1228" spans="1:4" x14ac:dyDescent="0.2">
      <c r="A1228">
        <v>99572</v>
      </c>
      <c r="B1228" t="s">
        <v>1141</v>
      </c>
      <c r="C1228">
        <v>99</v>
      </c>
      <c r="D1228" t="s">
        <v>318</v>
      </c>
    </row>
    <row r="1229" spans="1:4" x14ac:dyDescent="0.2">
      <c r="A1229">
        <v>99624</v>
      </c>
      <c r="B1229" t="s">
        <v>1142</v>
      </c>
      <c r="C1229">
        <v>99</v>
      </c>
      <c r="D1229" t="s">
        <v>318</v>
      </c>
    </row>
    <row r="1230" spans="1:4" x14ac:dyDescent="0.2">
      <c r="A1230">
        <v>99666</v>
      </c>
      <c r="B1230" t="s">
        <v>1143</v>
      </c>
      <c r="C1230">
        <v>99</v>
      </c>
      <c r="D1230" t="s">
        <v>318</v>
      </c>
    </row>
    <row r="1231" spans="1:4" x14ac:dyDescent="0.2">
      <c r="A1231">
        <v>99760</v>
      </c>
      <c r="B1231" t="s">
        <v>1144</v>
      </c>
      <c r="C1231">
        <v>99</v>
      </c>
      <c r="D1231" t="s">
        <v>318</v>
      </c>
    </row>
    <row r="1232" spans="1:4" x14ac:dyDescent="0.2">
      <c r="A1232">
        <v>99773</v>
      </c>
      <c r="B1232" t="s">
        <v>1145</v>
      </c>
      <c r="C1232">
        <v>99</v>
      </c>
      <c r="D1232" t="s">
        <v>318</v>
      </c>
    </row>
    <row r="1233" spans="1:4" x14ac:dyDescent="0.2">
      <c r="A1233">
        <v>94995</v>
      </c>
      <c r="B1233" t="s">
        <v>1146</v>
      </c>
      <c r="C1233">
        <v>94</v>
      </c>
      <c r="D1233" t="s">
        <v>373</v>
      </c>
    </row>
    <row r="1234" spans="1:4" x14ac:dyDescent="0.2">
      <c r="A1234">
        <v>97995</v>
      </c>
      <c r="B1234" t="s">
        <v>1146</v>
      </c>
      <c r="C1234">
        <v>97</v>
      </c>
      <c r="D1234" t="s">
        <v>375</v>
      </c>
    </row>
    <row r="1235" spans="1:4" x14ac:dyDescent="0.2">
      <c r="A1235">
        <v>91536</v>
      </c>
      <c r="B1235" t="s">
        <v>1147</v>
      </c>
      <c r="C1235">
        <v>91</v>
      </c>
      <c r="D1235" t="s">
        <v>314</v>
      </c>
    </row>
    <row r="1236" spans="1:4" x14ac:dyDescent="0.2">
      <c r="A1236">
        <v>91530</v>
      </c>
      <c r="B1236" t="s">
        <v>1148</v>
      </c>
      <c r="C1236">
        <v>91</v>
      </c>
      <c r="D1236" t="s">
        <v>314</v>
      </c>
    </row>
    <row r="1237" spans="1:4" x14ac:dyDescent="0.2">
      <c r="A1237">
        <v>91430</v>
      </c>
      <c r="B1237" t="s">
        <v>554</v>
      </c>
      <c r="C1237">
        <v>91</v>
      </c>
      <c r="D1237" t="s">
        <v>314</v>
      </c>
    </row>
    <row r="1238" spans="1:4" x14ac:dyDescent="0.2">
      <c r="A1238">
        <v>5390</v>
      </c>
      <c r="B1238" t="s">
        <v>1149</v>
      </c>
      <c r="C1238">
        <v>5</v>
      </c>
      <c r="D1238" t="s">
        <v>5</v>
      </c>
    </row>
    <row r="1239" spans="1:4" x14ac:dyDescent="0.2">
      <c r="A1239">
        <v>94343</v>
      </c>
      <c r="B1239" t="s">
        <v>1150</v>
      </c>
      <c r="C1239">
        <v>94</v>
      </c>
      <c r="D1239" t="s">
        <v>373</v>
      </c>
    </row>
    <row r="1240" spans="1:4" x14ac:dyDescent="0.2">
      <c r="A1240">
        <v>94883</v>
      </c>
      <c r="B1240" t="s">
        <v>1151</v>
      </c>
      <c r="C1240">
        <v>94</v>
      </c>
      <c r="D1240" t="s">
        <v>373</v>
      </c>
    </row>
    <row r="1241" spans="1:4" x14ac:dyDescent="0.2">
      <c r="A1241">
        <v>94884</v>
      </c>
      <c r="B1241" t="s">
        <v>1152</v>
      </c>
      <c r="C1241">
        <v>94</v>
      </c>
      <c r="D1241" t="s">
        <v>373</v>
      </c>
    </row>
    <row r="1242" spans="1:4" x14ac:dyDescent="0.2">
      <c r="A1242">
        <v>94885</v>
      </c>
      <c r="B1242" t="s">
        <v>1153</v>
      </c>
      <c r="C1242">
        <v>94</v>
      </c>
      <c r="D1242" t="s">
        <v>373</v>
      </c>
    </row>
    <row r="1243" spans="1:4" x14ac:dyDescent="0.2">
      <c r="A1243">
        <v>94886</v>
      </c>
      <c r="B1243" t="s">
        <v>1154</v>
      </c>
      <c r="C1243">
        <v>94</v>
      </c>
      <c r="D1243" t="s">
        <v>373</v>
      </c>
    </row>
    <row r="1244" spans="1:4" x14ac:dyDescent="0.2">
      <c r="A1244">
        <v>94887</v>
      </c>
      <c r="B1244" t="s">
        <v>1155</v>
      </c>
      <c r="C1244">
        <v>94</v>
      </c>
      <c r="D1244" t="s">
        <v>373</v>
      </c>
    </row>
    <row r="1245" spans="1:4" x14ac:dyDescent="0.2">
      <c r="A1245">
        <v>94900</v>
      </c>
      <c r="B1245" t="s">
        <v>1156</v>
      </c>
      <c r="C1245">
        <v>94</v>
      </c>
      <c r="D1245" t="s">
        <v>373</v>
      </c>
    </row>
    <row r="1246" spans="1:4" x14ac:dyDescent="0.2">
      <c r="A1246">
        <v>97161</v>
      </c>
      <c r="B1246" t="s">
        <v>1157</v>
      </c>
      <c r="C1246">
        <v>97</v>
      </c>
      <c r="D1246" t="s">
        <v>375</v>
      </c>
    </row>
    <row r="1247" spans="1:4" x14ac:dyDescent="0.2">
      <c r="A1247">
        <v>97511</v>
      </c>
      <c r="B1247" t="s">
        <v>1158</v>
      </c>
      <c r="C1247">
        <v>97</v>
      </c>
      <c r="D1247" t="s">
        <v>375</v>
      </c>
    </row>
    <row r="1248" spans="1:4" x14ac:dyDescent="0.2">
      <c r="A1248">
        <v>97666</v>
      </c>
      <c r="B1248" t="s">
        <v>1159</v>
      </c>
      <c r="C1248">
        <v>97</v>
      </c>
      <c r="D1248" t="s">
        <v>375</v>
      </c>
    </row>
    <row r="1249" spans="1:4" x14ac:dyDescent="0.2">
      <c r="A1249">
        <v>97777</v>
      </c>
      <c r="B1249" t="s">
        <v>1160</v>
      </c>
      <c r="C1249">
        <v>97</v>
      </c>
      <c r="D1249" t="s">
        <v>375</v>
      </c>
    </row>
    <row r="1250" spans="1:4" x14ac:dyDescent="0.2">
      <c r="A1250">
        <v>97889</v>
      </c>
      <c r="B1250" t="s">
        <v>1161</v>
      </c>
      <c r="C1250">
        <v>97</v>
      </c>
      <c r="D1250" t="s">
        <v>375</v>
      </c>
    </row>
    <row r="1251" spans="1:4" x14ac:dyDescent="0.2">
      <c r="A1251">
        <v>97901</v>
      </c>
      <c r="B1251" t="s">
        <v>1162</v>
      </c>
      <c r="C1251">
        <v>97</v>
      </c>
      <c r="D1251" t="s">
        <v>375</v>
      </c>
    </row>
    <row r="1252" spans="1:4" x14ac:dyDescent="0.2">
      <c r="A1252">
        <v>97902</v>
      </c>
      <c r="B1252" t="s">
        <v>1163</v>
      </c>
      <c r="C1252">
        <v>97</v>
      </c>
      <c r="D1252" t="s">
        <v>375</v>
      </c>
    </row>
  </sheetData>
  <sortState xmlns:xlrd2="http://schemas.microsoft.com/office/spreadsheetml/2017/richdata2" ref="F2:G37">
    <sortCondition ref="F2:F37"/>
  </sortState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Muestra_x_NSE_Poblacional</vt:lpstr>
      <vt:lpstr>Muestra_x_NSE</vt:lpstr>
      <vt:lpstr>Muestra_x_Dificultad</vt:lpstr>
      <vt:lpstr>Listados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David Patiño</dc:creator>
  <cp:lastModifiedBy>John David Patiño</cp:lastModifiedBy>
  <dcterms:created xsi:type="dcterms:W3CDTF">2022-09-22T16:42:00Z</dcterms:created>
  <dcterms:modified xsi:type="dcterms:W3CDTF">2022-09-22T23:03:32Z</dcterms:modified>
</cp:coreProperties>
</file>